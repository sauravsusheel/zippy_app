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xr:revisionPtr revIDLastSave="0" documentId="11_D8620CB773D9F27F66EF1B12013237083C0A7CCF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Student data" sheetId="1" r:id="rId1"/>
    <sheet name="Sheet3" sheetId="12" r:id="rId2"/>
    <sheet name="Sales Data" sheetId="2" r:id="rId3"/>
    <sheet name="Sheet1" sheetId="3" r:id="rId4"/>
    <sheet name="Sheet2" sheetId="4" r:id="rId5"/>
    <sheet name="Subtotal" sheetId="5" r:id="rId6"/>
    <sheet name="MNC-SALES BUDEGETING DATA" sheetId="6" r:id="rId7"/>
    <sheet name="Sheet5" sheetId="7" r:id="rId8"/>
    <sheet name="500DATA FOR PRACTISING" sheetId="8" r:id="rId9"/>
    <sheet name="Sheet4" sheetId="9" r:id="rId10"/>
    <sheet name="trim,lenghth,text formula pract" sheetId="10" r:id="rId11"/>
    <sheet name="PIVOT TABLE DATA" sheetId="11" r:id="rId1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1" i="1" l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F17" i="1"/>
  <c r="G17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J52" i="10"/>
  <c r="J51" i="10"/>
  <c r="J50" i="10"/>
  <c r="J49" i="10"/>
  <c r="J48" i="10"/>
  <c r="J47" i="10"/>
  <c r="J46" i="10"/>
  <c r="J45" i="10"/>
  <c r="J44" i="10"/>
  <c r="J43" i="10"/>
  <c r="J42" i="10"/>
  <c r="J41" i="10"/>
  <c r="J40" i="10"/>
  <c r="J39" i="10"/>
  <c r="J38" i="10"/>
  <c r="J37" i="10"/>
  <c r="J36" i="10"/>
  <c r="J35" i="10"/>
  <c r="J34" i="10"/>
  <c r="J33" i="10"/>
  <c r="J32" i="10"/>
  <c r="J31" i="10"/>
  <c r="J30" i="10"/>
  <c r="J29" i="10"/>
  <c r="J28" i="10"/>
  <c r="J27" i="10"/>
  <c r="J26" i="10"/>
  <c r="J25" i="10"/>
  <c r="J24" i="10"/>
  <c r="J23" i="10"/>
  <c r="J22" i="10"/>
  <c r="J21" i="10"/>
  <c r="J20" i="10"/>
  <c r="J19" i="10"/>
  <c r="J18" i="10"/>
  <c r="J17" i="10"/>
  <c r="J16" i="10"/>
  <c r="J15" i="10"/>
  <c r="J14" i="10"/>
  <c r="J13" i="10"/>
  <c r="J12" i="10"/>
  <c r="J11" i="10"/>
  <c r="J10" i="10"/>
  <c r="J9" i="10"/>
  <c r="J8" i="10"/>
  <c r="J7" i="10"/>
  <c r="J6" i="10"/>
  <c r="J5" i="10"/>
  <c r="J4" i="10"/>
  <c r="K3" i="10"/>
  <c r="J3" i="10"/>
  <c r="G201" i="9"/>
  <c r="E201" i="9"/>
  <c r="G200" i="9"/>
  <c r="E200" i="9"/>
  <c r="G199" i="9"/>
  <c r="E199" i="9"/>
  <c r="G198" i="9"/>
  <c r="E198" i="9"/>
  <c r="G197" i="9"/>
  <c r="E197" i="9"/>
  <c r="G196" i="9"/>
  <c r="E196" i="9"/>
  <c r="G195" i="9"/>
  <c r="E195" i="9"/>
  <c r="G194" i="9"/>
  <c r="E194" i="9"/>
  <c r="G193" i="9"/>
  <c r="E193" i="9"/>
  <c r="G192" i="9"/>
  <c r="E192" i="9"/>
  <c r="G191" i="9"/>
  <c r="E191" i="9"/>
  <c r="G190" i="9"/>
  <c r="E190" i="9"/>
  <c r="G189" i="9"/>
  <c r="E189" i="9"/>
  <c r="G188" i="9"/>
  <c r="E188" i="9"/>
  <c r="G187" i="9"/>
  <c r="E187" i="9"/>
  <c r="G186" i="9"/>
  <c r="E186" i="9"/>
  <c r="G185" i="9"/>
  <c r="E185" i="9"/>
  <c r="G184" i="9"/>
  <c r="E184" i="9"/>
  <c r="G183" i="9"/>
  <c r="E183" i="9"/>
  <c r="G182" i="9"/>
  <c r="E182" i="9"/>
  <c r="G181" i="9"/>
  <c r="E181" i="9"/>
  <c r="G180" i="9"/>
  <c r="E180" i="9"/>
  <c r="G179" i="9"/>
  <c r="E179" i="9"/>
  <c r="G178" i="9"/>
  <c r="E178" i="9"/>
  <c r="G177" i="9"/>
  <c r="E177" i="9"/>
  <c r="G176" i="9"/>
  <c r="E176" i="9"/>
  <c r="G175" i="9"/>
  <c r="E175" i="9"/>
  <c r="G174" i="9"/>
  <c r="E174" i="9"/>
  <c r="G173" i="9"/>
  <c r="E173" i="9"/>
  <c r="G172" i="9"/>
  <c r="E172" i="9"/>
  <c r="G171" i="9"/>
  <c r="E171" i="9"/>
  <c r="G170" i="9"/>
  <c r="E170" i="9"/>
  <c r="G169" i="9"/>
  <c r="E169" i="9"/>
  <c r="G168" i="9"/>
  <c r="E168" i="9"/>
  <c r="G167" i="9"/>
  <c r="E167" i="9"/>
  <c r="G166" i="9"/>
  <c r="E166" i="9"/>
  <c r="G165" i="9"/>
  <c r="E165" i="9"/>
  <c r="G164" i="9"/>
  <c r="E164" i="9"/>
  <c r="G163" i="9"/>
  <c r="E163" i="9"/>
  <c r="G162" i="9"/>
  <c r="E162" i="9"/>
  <c r="G161" i="9"/>
  <c r="E161" i="9"/>
  <c r="G160" i="9"/>
  <c r="E160" i="9"/>
  <c r="G159" i="9"/>
  <c r="E159" i="9"/>
  <c r="G158" i="9"/>
  <c r="E158" i="9"/>
  <c r="G157" i="9"/>
  <c r="E157" i="9"/>
  <c r="G156" i="9"/>
  <c r="E156" i="9"/>
  <c r="G155" i="9"/>
  <c r="E155" i="9"/>
  <c r="G154" i="9"/>
  <c r="E154" i="9"/>
  <c r="G153" i="9"/>
  <c r="E153" i="9"/>
  <c r="G152" i="9"/>
  <c r="E152" i="9"/>
  <c r="G151" i="9"/>
  <c r="E151" i="9"/>
  <c r="G150" i="9"/>
  <c r="E150" i="9"/>
  <c r="G149" i="9"/>
  <c r="E149" i="9"/>
  <c r="G148" i="9"/>
  <c r="E148" i="9"/>
  <c r="G147" i="9"/>
  <c r="E147" i="9"/>
  <c r="G146" i="9"/>
  <c r="E146" i="9"/>
  <c r="G145" i="9"/>
  <c r="E145" i="9"/>
  <c r="G144" i="9"/>
  <c r="E144" i="9"/>
  <c r="G143" i="9"/>
  <c r="E143" i="9"/>
  <c r="G142" i="9"/>
  <c r="E142" i="9"/>
  <c r="G141" i="9"/>
  <c r="E141" i="9"/>
  <c r="G140" i="9"/>
  <c r="E140" i="9"/>
  <c r="G139" i="9"/>
  <c r="E139" i="9"/>
  <c r="G138" i="9"/>
  <c r="E138" i="9"/>
  <c r="G137" i="9"/>
  <c r="E137" i="9"/>
  <c r="G136" i="9"/>
  <c r="E136" i="9"/>
  <c r="G135" i="9"/>
  <c r="E135" i="9"/>
  <c r="G134" i="9"/>
  <c r="E134" i="9"/>
  <c r="G133" i="9"/>
  <c r="E133" i="9"/>
  <c r="G132" i="9"/>
  <c r="E132" i="9"/>
  <c r="G131" i="9"/>
  <c r="E131" i="9"/>
  <c r="G130" i="9"/>
  <c r="E130" i="9"/>
  <c r="G129" i="9"/>
  <c r="E129" i="9"/>
  <c r="G128" i="9"/>
  <c r="E128" i="9"/>
  <c r="G127" i="9"/>
  <c r="E127" i="9"/>
  <c r="G126" i="9"/>
  <c r="E126" i="9"/>
  <c r="G125" i="9"/>
  <c r="E125" i="9"/>
  <c r="G124" i="9"/>
  <c r="E124" i="9"/>
  <c r="G123" i="9"/>
  <c r="E123" i="9"/>
  <c r="G122" i="9"/>
  <c r="E122" i="9"/>
  <c r="G121" i="9"/>
  <c r="E121" i="9"/>
  <c r="G120" i="9"/>
  <c r="E120" i="9"/>
  <c r="G119" i="9"/>
  <c r="E119" i="9"/>
  <c r="G118" i="9"/>
  <c r="E118" i="9"/>
  <c r="G117" i="9"/>
  <c r="E117" i="9"/>
  <c r="G116" i="9"/>
  <c r="E116" i="9"/>
  <c r="G115" i="9"/>
  <c r="E115" i="9"/>
  <c r="G114" i="9"/>
  <c r="E114" i="9"/>
  <c r="G113" i="9"/>
  <c r="E113" i="9"/>
  <c r="G112" i="9"/>
  <c r="E112" i="9"/>
  <c r="G111" i="9"/>
  <c r="E111" i="9"/>
  <c r="G110" i="9"/>
  <c r="E110" i="9"/>
  <c r="G109" i="9"/>
  <c r="E109" i="9"/>
  <c r="G108" i="9"/>
  <c r="E108" i="9"/>
  <c r="G107" i="9"/>
  <c r="E107" i="9"/>
  <c r="G106" i="9"/>
  <c r="E106" i="9"/>
  <c r="G105" i="9"/>
  <c r="E105" i="9"/>
  <c r="G104" i="9"/>
  <c r="E104" i="9"/>
  <c r="G103" i="9"/>
  <c r="E103" i="9"/>
  <c r="G102" i="9"/>
  <c r="E102" i="9"/>
  <c r="G101" i="9"/>
  <c r="E101" i="9"/>
  <c r="G100" i="9"/>
  <c r="E100" i="9"/>
  <c r="G99" i="9"/>
  <c r="E99" i="9"/>
  <c r="G98" i="9"/>
  <c r="E98" i="9"/>
  <c r="G97" i="9"/>
  <c r="E97" i="9"/>
  <c r="G96" i="9"/>
  <c r="E96" i="9"/>
  <c r="G95" i="9"/>
  <c r="E95" i="9"/>
  <c r="G94" i="9"/>
  <c r="E94" i="9"/>
  <c r="G93" i="9"/>
  <c r="E93" i="9"/>
  <c r="G92" i="9"/>
  <c r="E92" i="9"/>
  <c r="G91" i="9"/>
  <c r="E91" i="9"/>
  <c r="G90" i="9"/>
  <c r="E90" i="9"/>
  <c r="G89" i="9"/>
  <c r="E89" i="9"/>
  <c r="G88" i="9"/>
  <c r="E88" i="9"/>
  <c r="G87" i="9"/>
  <c r="E87" i="9"/>
  <c r="G86" i="9"/>
  <c r="E86" i="9"/>
  <c r="G85" i="9"/>
  <c r="E85" i="9"/>
  <c r="G84" i="9"/>
  <c r="E84" i="9"/>
  <c r="G83" i="9"/>
  <c r="E83" i="9"/>
  <c r="G82" i="9"/>
  <c r="E82" i="9"/>
  <c r="G81" i="9"/>
  <c r="E81" i="9"/>
  <c r="G80" i="9"/>
  <c r="E80" i="9"/>
  <c r="G79" i="9"/>
  <c r="E79" i="9"/>
  <c r="G78" i="9"/>
  <c r="E78" i="9"/>
  <c r="G77" i="9"/>
  <c r="E77" i="9"/>
  <c r="G76" i="9"/>
  <c r="E76" i="9"/>
  <c r="G75" i="9"/>
  <c r="E75" i="9"/>
  <c r="G74" i="9"/>
  <c r="E74" i="9"/>
  <c r="G73" i="9"/>
  <c r="E73" i="9"/>
  <c r="G72" i="9"/>
  <c r="E72" i="9"/>
  <c r="G71" i="9"/>
  <c r="E71" i="9"/>
  <c r="G70" i="9"/>
  <c r="E70" i="9"/>
  <c r="G69" i="9"/>
  <c r="E69" i="9"/>
  <c r="G68" i="9"/>
  <c r="E68" i="9"/>
  <c r="G67" i="9"/>
  <c r="E67" i="9"/>
  <c r="G66" i="9"/>
  <c r="E66" i="9"/>
  <c r="G65" i="9"/>
  <c r="E65" i="9"/>
  <c r="G64" i="9"/>
  <c r="E64" i="9"/>
  <c r="G63" i="9"/>
  <c r="E63" i="9"/>
  <c r="G62" i="9"/>
  <c r="E62" i="9"/>
  <c r="G61" i="9"/>
  <c r="E61" i="9"/>
  <c r="G60" i="9"/>
  <c r="E60" i="9"/>
  <c r="G59" i="9"/>
  <c r="E59" i="9"/>
  <c r="G58" i="9"/>
  <c r="E58" i="9"/>
  <c r="G57" i="9"/>
  <c r="E57" i="9"/>
  <c r="G56" i="9"/>
  <c r="E56" i="9"/>
  <c r="G55" i="9"/>
  <c r="E55" i="9"/>
  <c r="G54" i="9"/>
  <c r="E54" i="9"/>
  <c r="G53" i="9"/>
  <c r="E53" i="9"/>
  <c r="G52" i="9"/>
  <c r="E52" i="9"/>
  <c r="G51" i="9"/>
  <c r="E51" i="9"/>
  <c r="G50" i="9"/>
  <c r="E50" i="9"/>
  <c r="G49" i="9"/>
  <c r="E49" i="9"/>
  <c r="G48" i="9"/>
  <c r="E48" i="9"/>
  <c r="G47" i="9"/>
  <c r="E47" i="9"/>
  <c r="G46" i="9"/>
  <c r="E46" i="9"/>
  <c r="G45" i="9"/>
  <c r="E45" i="9"/>
  <c r="G44" i="9"/>
  <c r="E44" i="9"/>
  <c r="G43" i="9"/>
  <c r="E43" i="9"/>
  <c r="G42" i="9"/>
  <c r="E42" i="9"/>
  <c r="G41" i="9"/>
  <c r="E41" i="9"/>
  <c r="G40" i="9"/>
  <c r="E40" i="9"/>
  <c r="G39" i="9"/>
  <c r="E39" i="9"/>
  <c r="G38" i="9"/>
  <c r="E38" i="9"/>
  <c r="G37" i="9"/>
  <c r="E37" i="9"/>
  <c r="G36" i="9"/>
  <c r="E36" i="9"/>
  <c r="G35" i="9"/>
  <c r="E35" i="9"/>
  <c r="G34" i="9"/>
  <c r="E34" i="9"/>
  <c r="G33" i="9"/>
  <c r="E33" i="9"/>
  <c r="G32" i="9"/>
  <c r="E32" i="9"/>
  <c r="G31" i="9"/>
  <c r="E31" i="9"/>
  <c r="G30" i="9"/>
  <c r="E30" i="9"/>
  <c r="G29" i="9"/>
  <c r="E29" i="9"/>
  <c r="G28" i="9"/>
  <c r="E28" i="9"/>
  <c r="G27" i="9"/>
  <c r="E27" i="9"/>
  <c r="G26" i="9"/>
  <c r="E26" i="9"/>
  <c r="G25" i="9"/>
  <c r="E25" i="9"/>
  <c r="G24" i="9"/>
  <c r="E24" i="9"/>
  <c r="G23" i="9"/>
  <c r="E23" i="9"/>
  <c r="G22" i="9"/>
  <c r="E22" i="9"/>
  <c r="G21" i="9"/>
  <c r="E21" i="9"/>
  <c r="G20" i="9"/>
  <c r="E20" i="9"/>
  <c r="G19" i="9"/>
  <c r="E19" i="9"/>
  <c r="G18" i="9"/>
  <c r="E18" i="9"/>
  <c r="G17" i="9"/>
  <c r="E17" i="9"/>
  <c r="G16" i="9"/>
  <c r="E16" i="9"/>
  <c r="G15" i="9"/>
  <c r="E15" i="9"/>
  <c r="G14" i="9"/>
  <c r="E14" i="9"/>
  <c r="G13" i="9"/>
  <c r="E13" i="9"/>
  <c r="G12" i="9"/>
  <c r="E12" i="9"/>
  <c r="G11" i="9"/>
  <c r="E11" i="9"/>
  <c r="G10" i="9"/>
  <c r="E10" i="9"/>
  <c r="G9" i="9"/>
  <c r="E9" i="9"/>
  <c r="G7" i="9"/>
  <c r="E7" i="9"/>
  <c r="K8" i="9"/>
  <c r="G8" i="9"/>
  <c r="E8" i="9"/>
  <c r="G6" i="9"/>
  <c r="E6" i="9"/>
  <c r="G5" i="9"/>
  <c r="E5" i="9"/>
  <c r="G4" i="9"/>
  <c r="E4" i="9"/>
  <c r="E2" i="9"/>
  <c r="E3" i="9"/>
  <c r="L3" i="9"/>
  <c r="K3" i="9"/>
  <c r="J3" i="9"/>
  <c r="G3" i="9"/>
  <c r="G2" i="9"/>
  <c r="H201" i="7"/>
  <c r="J201" i="7"/>
  <c r="H200" i="7"/>
  <c r="J200" i="7"/>
  <c r="H199" i="7"/>
  <c r="J199" i="7"/>
  <c r="H198" i="7"/>
  <c r="J198" i="7"/>
  <c r="H197" i="7"/>
  <c r="J197" i="7"/>
  <c r="H196" i="7"/>
  <c r="J196" i="7"/>
  <c r="H195" i="7"/>
  <c r="J195" i="7"/>
  <c r="H194" i="7"/>
  <c r="J194" i="7"/>
  <c r="H193" i="7"/>
  <c r="J193" i="7"/>
  <c r="H192" i="7"/>
  <c r="J192" i="7"/>
  <c r="H191" i="7"/>
  <c r="J191" i="7"/>
  <c r="H190" i="7"/>
  <c r="J190" i="7"/>
  <c r="H189" i="7"/>
  <c r="J189" i="7"/>
  <c r="H188" i="7"/>
  <c r="J188" i="7"/>
  <c r="H187" i="7"/>
  <c r="J187" i="7"/>
  <c r="H186" i="7"/>
  <c r="J186" i="7"/>
  <c r="H185" i="7"/>
  <c r="J185" i="7"/>
  <c r="H184" i="7"/>
  <c r="J184" i="7"/>
  <c r="H183" i="7"/>
  <c r="J183" i="7"/>
  <c r="H182" i="7"/>
  <c r="J182" i="7"/>
  <c r="H181" i="7"/>
  <c r="J181" i="7"/>
  <c r="H180" i="7"/>
  <c r="J180" i="7"/>
  <c r="H179" i="7"/>
  <c r="J179" i="7"/>
  <c r="H178" i="7"/>
  <c r="J178" i="7"/>
  <c r="H177" i="7"/>
  <c r="J177" i="7"/>
  <c r="H176" i="7"/>
  <c r="J176" i="7"/>
  <c r="H175" i="7"/>
  <c r="J175" i="7"/>
  <c r="H174" i="7"/>
  <c r="J174" i="7"/>
  <c r="H173" i="7"/>
  <c r="J173" i="7"/>
  <c r="H172" i="7"/>
  <c r="J172" i="7"/>
  <c r="H171" i="7"/>
  <c r="J171" i="7"/>
  <c r="H170" i="7"/>
  <c r="J170" i="7"/>
  <c r="H169" i="7"/>
  <c r="J169" i="7"/>
  <c r="H168" i="7"/>
  <c r="J168" i="7"/>
  <c r="H167" i="7"/>
  <c r="J167" i="7"/>
  <c r="H166" i="7"/>
  <c r="J166" i="7"/>
  <c r="H165" i="7"/>
  <c r="J165" i="7"/>
  <c r="H164" i="7"/>
  <c r="J164" i="7"/>
  <c r="H163" i="7"/>
  <c r="J163" i="7"/>
  <c r="H162" i="7"/>
  <c r="J162" i="7"/>
  <c r="H161" i="7"/>
  <c r="J161" i="7"/>
  <c r="H160" i="7"/>
  <c r="J160" i="7"/>
  <c r="H159" i="7"/>
  <c r="J159" i="7"/>
  <c r="H158" i="7"/>
  <c r="J158" i="7"/>
  <c r="H157" i="7"/>
  <c r="J157" i="7"/>
  <c r="H156" i="7"/>
  <c r="J156" i="7"/>
  <c r="H155" i="7"/>
  <c r="J155" i="7"/>
  <c r="H154" i="7"/>
  <c r="J154" i="7"/>
  <c r="H153" i="7"/>
  <c r="J153" i="7"/>
  <c r="H152" i="7"/>
  <c r="J152" i="7"/>
  <c r="H151" i="7"/>
  <c r="J151" i="7"/>
  <c r="H150" i="7"/>
  <c r="J150" i="7"/>
  <c r="H149" i="7"/>
  <c r="J149" i="7"/>
  <c r="H148" i="7"/>
  <c r="J148" i="7"/>
  <c r="H147" i="7"/>
  <c r="J147" i="7"/>
  <c r="H146" i="7"/>
  <c r="J146" i="7"/>
  <c r="H145" i="7"/>
  <c r="J145" i="7"/>
  <c r="H144" i="7"/>
  <c r="J144" i="7"/>
  <c r="H143" i="7"/>
  <c r="J143" i="7"/>
  <c r="H142" i="7"/>
  <c r="J142" i="7"/>
  <c r="H141" i="7"/>
  <c r="J141" i="7"/>
  <c r="H140" i="7"/>
  <c r="J140" i="7"/>
  <c r="H139" i="7"/>
  <c r="J139" i="7"/>
  <c r="H138" i="7"/>
  <c r="J138" i="7"/>
  <c r="H137" i="7"/>
  <c r="J137" i="7"/>
  <c r="H136" i="7"/>
  <c r="J136" i="7"/>
  <c r="H135" i="7"/>
  <c r="J135" i="7"/>
  <c r="H134" i="7"/>
  <c r="J134" i="7"/>
  <c r="H133" i="7"/>
  <c r="J133" i="7"/>
  <c r="H132" i="7"/>
  <c r="J132" i="7"/>
  <c r="H131" i="7"/>
  <c r="J131" i="7"/>
  <c r="H130" i="7"/>
  <c r="J130" i="7"/>
  <c r="H129" i="7"/>
  <c r="J129" i="7"/>
  <c r="H128" i="7"/>
  <c r="J128" i="7"/>
  <c r="H127" i="7"/>
  <c r="J127" i="7"/>
  <c r="H126" i="7"/>
  <c r="J126" i="7"/>
  <c r="H125" i="7"/>
  <c r="J125" i="7"/>
  <c r="H124" i="7"/>
  <c r="J124" i="7"/>
  <c r="H123" i="7"/>
  <c r="J123" i="7"/>
  <c r="H122" i="7"/>
  <c r="J122" i="7"/>
  <c r="H121" i="7"/>
  <c r="J121" i="7"/>
  <c r="H120" i="7"/>
  <c r="J120" i="7"/>
  <c r="H119" i="7"/>
  <c r="J119" i="7"/>
  <c r="H118" i="7"/>
  <c r="J118" i="7"/>
  <c r="H117" i="7"/>
  <c r="J117" i="7"/>
  <c r="H116" i="7"/>
  <c r="J116" i="7"/>
  <c r="H115" i="7"/>
  <c r="J115" i="7"/>
  <c r="H114" i="7"/>
  <c r="J114" i="7"/>
  <c r="H113" i="7"/>
  <c r="J113" i="7"/>
  <c r="H112" i="7"/>
  <c r="J112" i="7"/>
  <c r="H111" i="7"/>
  <c r="J111" i="7"/>
  <c r="H110" i="7"/>
  <c r="J110" i="7"/>
  <c r="H109" i="7"/>
  <c r="J109" i="7"/>
  <c r="H108" i="7"/>
  <c r="J108" i="7"/>
  <c r="H107" i="7"/>
  <c r="J107" i="7"/>
  <c r="H106" i="7"/>
  <c r="J106" i="7"/>
  <c r="H105" i="7"/>
  <c r="J105" i="7"/>
  <c r="H104" i="7"/>
  <c r="J104" i="7"/>
  <c r="H103" i="7"/>
  <c r="J103" i="7"/>
  <c r="H102" i="7"/>
  <c r="J102" i="7"/>
  <c r="H101" i="7"/>
  <c r="J101" i="7"/>
  <c r="H100" i="7"/>
  <c r="J100" i="7"/>
  <c r="H99" i="7"/>
  <c r="J99" i="7"/>
  <c r="H98" i="7"/>
  <c r="J98" i="7"/>
  <c r="H97" i="7"/>
  <c r="J97" i="7"/>
  <c r="H96" i="7"/>
  <c r="J96" i="7"/>
  <c r="H95" i="7"/>
  <c r="J95" i="7"/>
  <c r="H94" i="7"/>
  <c r="J94" i="7"/>
  <c r="H93" i="7"/>
  <c r="J93" i="7"/>
  <c r="H92" i="7"/>
  <c r="J92" i="7"/>
  <c r="H91" i="7"/>
  <c r="J91" i="7"/>
  <c r="H90" i="7"/>
  <c r="J90" i="7"/>
  <c r="H89" i="7"/>
  <c r="J89" i="7"/>
  <c r="H88" i="7"/>
  <c r="J88" i="7"/>
  <c r="H87" i="7"/>
  <c r="J87" i="7"/>
  <c r="H86" i="7"/>
  <c r="J86" i="7"/>
  <c r="H85" i="7"/>
  <c r="J85" i="7"/>
  <c r="H84" i="7"/>
  <c r="J84" i="7"/>
  <c r="H83" i="7"/>
  <c r="J83" i="7"/>
  <c r="H82" i="7"/>
  <c r="J82" i="7"/>
  <c r="H81" i="7"/>
  <c r="J81" i="7"/>
  <c r="H80" i="7"/>
  <c r="J80" i="7"/>
  <c r="H79" i="7"/>
  <c r="J79" i="7"/>
  <c r="H78" i="7"/>
  <c r="J78" i="7"/>
  <c r="H77" i="7"/>
  <c r="J77" i="7"/>
  <c r="H76" i="7"/>
  <c r="J76" i="7"/>
  <c r="H75" i="7"/>
  <c r="J75" i="7"/>
  <c r="H74" i="7"/>
  <c r="J74" i="7"/>
  <c r="H73" i="7"/>
  <c r="J73" i="7"/>
  <c r="H72" i="7"/>
  <c r="J72" i="7"/>
  <c r="H71" i="7"/>
  <c r="J71" i="7"/>
  <c r="H70" i="7"/>
  <c r="J70" i="7"/>
  <c r="H69" i="7"/>
  <c r="J69" i="7"/>
  <c r="H68" i="7"/>
  <c r="J68" i="7"/>
  <c r="H67" i="7"/>
  <c r="J67" i="7"/>
  <c r="H66" i="7"/>
  <c r="J66" i="7"/>
  <c r="H65" i="7"/>
  <c r="J65" i="7"/>
  <c r="H64" i="7"/>
  <c r="J64" i="7"/>
  <c r="H63" i="7"/>
  <c r="J63" i="7"/>
  <c r="H62" i="7"/>
  <c r="J62" i="7"/>
  <c r="H61" i="7"/>
  <c r="J61" i="7"/>
  <c r="H60" i="7"/>
  <c r="J60" i="7"/>
  <c r="H59" i="7"/>
  <c r="J59" i="7"/>
  <c r="H58" i="7"/>
  <c r="J58" i="7"/>
  <c r="H57" i="7"/>
  <c r="J57" i="7"/>
  <c r="H56" i="7"/>
  <c r="J56" i="7"/>
  <c r="H55" i="7"/>
  <c r="J55" i="7"/>
  <c r="H54" i="7"/>
  <c r="J54" i="7"/>
  <c r="H53" i="7"/>
  <c r="J53" i="7"/>
  <c r="H52" i="7"/>
  <c r="J52" i="7"/>
  <c r="H51" i="7"/>
  <c r="J51" i="7"/>
  <c r="H50" i="7"/>
  <c r="J50" i="7"/>
  <c r="H49" i="7"/>
  <c r="J49" i="7"/>
  <c r="H48" i="7"/>
  <c r="J48" i="7"/>
  <c r="H47" i="7"/>
  <c r="J47" i="7"/>
  <c r="H46" i="7"/>
  <c r="J46" i="7"/>
  <c r="H45" i="7"/>
  <c r="J45" i="7"/>
  <c r="H44" i="7"/>
  <c r="J44" i="7"/>
  <c r="H43" i="7"/>
  <c r="J43" i="7"/>
  <c r="H42" i="7"/>
  <c r="J42" i="7"/>
  <c r="H41" i="7"/>
  <c r="J41" i="7"/>
  <c r="H40" i="7"/>
  <c r="J40" i="7"/>
  <c r="H39" i="7"/>
  <c r="J39" i="7"/>
  <c r="H38" i="7"/>
  <c r="J38" i="7"/>
  <c r="H37" i="7"/>
  <c r="J37" i="7"/>
  <c r="H36" i="7"/>
  <c r="J36" i="7"/>
  <c r="H35" i="7"/>
  <c r="J35" i="7"/>
  <c r="H34" i="7"/>
  <c r="J34" i="7"/>
  <c r="H33" i="7"/>
  <c r="J33" i="7"/>
  <c r="H32" i="7"/>
  <c r="J32" i="7"/>
  <c r="H31" i="7"/>
  <c r="J31" i="7"/>
  <c r="H30" i="7"/>
  <c r="J30" i="7"/>
  <c r="H29" i="7"/>
  <c r="J29" i="7"/>
  <c r="H28" i="7"/>
  <c r="J28" i="7"/>
  <c r="H27" i="7"/>
  <c r="J27" i="7"/>
  <c r="H26" i="7"/>
  <c r="J26" i="7"/>
  <c r="H25" i="7"/>
  <c r="J25" i="7"/>
  <c r="H24" i="7"/>
  <c r="J24" i="7"/>
  <c r="H23" i="7"/>
  <c r="J23" i="7"/>
  <c r="H22" i="7"/>
  <c r="J22" i="7"/>
  <c r="H21" i="7"/>
  <c r="J21" i="7"/>
  <c r="H20" i="7"/>
  <c r="J20" i="7"/>
  <c r="H19" i="7"/>
  <c r="J19" i="7"/>
  <c r="H18" i="7"/>
  <c r="J18" i="7"/>
  <c r="H17" i="7"/>
  <c r="J17" i="7"/>
  <c r="H16" i="7"/>
  <c r="J16" i="7"/>
  <c r="H15" i="7"/>
  <c r="J15" i="7"/>
  <c r="H14" i="7"/>
  <c r="J14" i="7"/>
  <c r="H13" i="7"/>
  <c r="J13" i="7"/>
  <c r="H12" i="7"/>
  <c r="J12" i="7"/>
  <c r="H11" i="7"/>
  <c r="J11" i="7"/>
  <c r="H10" i="7"/>
  <c r="J10" i="7"/>
  <c r="H9" i="7"/>
  <c r="J9" i="7"/>
  <c r="H8" i="7"/>
  <c r="J8" i="7"/>
  <c r="H7" i="7"/>
  <c r="J7" i="7"/>
  <c r="H6" i="7"/>
  <c r="J6" i="7"/>
  <c r="H5" i="7"/>
  <c r="J5" i="7"/>
  <c r="H4" i="7"/>
  <c r="J4" i="7"/>
  <c r="H3" i="7"/>
  <c r="J3" i="7"/>
  <c r="H2" i="7"/>
  <c r="J2" i="7"/>
  <c r="R28" i="5"/>
  <c r="R59" i="5"/>
  <c r="R85" i="5"/>
  <c r="R106" i="5"/>
  <c r="R105" i="5"/>
  <c r="K101" i="4"/>
  <c r="K100" i="4"/>
  <c r="K99" i="4"/>
  <c r="K98" i="4"/>
  <c r="K97" i="4"/>
  <c r="K96" i="4"/>
  <c r="K95" i="4"/>
  <c r="K94" i="4"/>
  <c r="K93" i="4"/>
  <c r="K92" i="4"/>
  <c r="K91" i="4"/>
  <c r="K90" i="4"/>
  <c r="K89" i="4"/>
  <c r="K88" i="4"/>
  <c r="K87" i="4"/>
  <c r="K86" i="4"/>
  <c r="K85" i="4"/>
  <c r="K84" i="4"/>
  <c r="K83" i="4"/>
  <c r="K82" i="4"/>
  <c r="K81" i="4"/>
  <c r="K80" i="4"/>
  <c r="K79" i="4"/>
  <c r="K78" i="4"/>
  <c r="K77" i="4"/>
  <c r="K76" i="4"/>
  <c r="K75" i="4"/>
  <c r="K74" i="4"/>
  <c r="K73" i="4"/>
  <c r="K72" i="4"/>
  <c r="K71" i="4"/>
  <c r="K70" i="4"/>
  <c r="K69" i="4"/>
  <c r="K68" i="4"/>
  <c r="K67" i="4"/>
  <c r="K66" i="4"/>
  <c r="K65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K3" i="4"/>
  <c r="K2" i="4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  <c r="I14" i="2"/>
  <c r="H14" i="2"/>
  <c r="G14" i="2"/>
  <c r="F14" i="2"/>
  <c r="I13" i="2"/>
  <c r="H13" i="2"/>
  <c r="G13" i="2"/>
  <c r="F13" i="2"/>
  <c r="I12" i="2"/>
  <c r="H12" i="2"/>
  <c r="G12" i="2"/>
  <c r="F12" i="2"/>
  <c r="I11" i="2"/>
  <c r="H11" i="2"/>
  <c r="G11" i="2"/>
  <c r="F11" i="2"/>
  <c r="I10" i="2"/>
  <c r="H10" i="2"/>
  <c r="G10" i="2"/>
  <c r="F10" i="2"/>
  <c r="I9" i="2"/>
  <c r="H9" i="2"/>
  <c r="G9" i="2"/>
  <c r="F9" i="2"/>
  <c r="I8" i="2"/>
  <c r="H8" i="2"/>
  <c r="G8" i="2"/>
  <c r="F8" i="2"/>
  <c r="I7" i="2"/>
  <c r="H7" i="2"/>
  <c r="G7" i="2"/>
  <c r="F7" i="2"/>
  <c r="I6" i="2"/>
  <c r="H6" i="2"/>
  <c r="G6" i="2"/>
  <c r="F6" i="2"/>
  <c r="I5" i="2"/>
  <c r="H5" i="2"/>
  <c r="G5" i="2"/>
  <c r="F5" i="2"/>
  <c r="I4" i="2"/>
  <c r="H4" i="2"/>
  <c r="G4" i="2"/>
  <c r="F4" i="2"/>
  <c r="I3" i="2"/>
  <c r="H3" i="2"/>
  <c r="G3" i="2"/>
  <c r="F3" i="2"/>
  <c r="F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</calcChain>
</file>

<file path=xl/sharedStrings.xml><?xml version="1.0" encoding="utf-8"?>
<sst xmlns="http://schemas.openxmlformats.org/spreadsheetml/2006/main" count="9181" uniqueCount="879">
  <si>
    <t>Student_ID</t>
  </si>
  <si>
    <t>Math</t>
  </si>
  <si>
    <t>English</t>
  </si>
  <si>
    <t>Science</t>
  </si>
  <si>
    <t>Accounts</t>
  </si>
  <si>
    <t>Total</t>
  </si>
  <si>
    <t>%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</si>
  <si>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</si>
  <si>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</si>
  <si>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</si>
  <si>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</si>
  <si>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</si>
  <si>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</si>
  <si>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</si>
  <si>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</si>
  <si>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</si>
  <si>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</si>
  <si>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</si>
  <si>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</si>
  <si>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</si>
  <si>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</si>
  <si>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</si>
  <si>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</si>
  <si>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</si>
  <si>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</si>
  <si>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</si>
  <si>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</si>
  <si>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</si>
  <si>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</si>
  <si>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</si>
  <si>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</si>
  <si>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</si>
  <si>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</si>
  <si>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</si>
  <si>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</si>
  <si>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</si>
  <si>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</si>
  <si>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Product Sales Report</t>
  </si>
  <si>
    <t>Month</t>
  </si>
  <si>
    <t>Product_A</t>
  </si>
  <si>
    <t>Product_B</t>
  </si>
  <si>
    <t>Product_C</t>
  </si>
  <si>
    <t>Product_D</t>
  </si>
  <si>
    <t>Total sales</t>
  </si>
  <si>
    <t>Average Sales</t>
  </si>
  <si>
    <t>Maximum</t>
  </si>
  <si>
    <t>Minimum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</si>
  <si>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</si>
  <si>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</si>
  <si>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</si>
  <si>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</si>
  <si>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</si>
  <si>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</si>
  <si>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</si>
  <si>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</si>
  <si>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</si>
  <si>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</si>
  <si>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</si>
  <si>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</si>
  <si>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Date</t>
  </si>
  <si>
    <t>Region</t>
  </si>
  <si>
    <t>Salesperson</t>
  </si>
  <si>
    <t>Product</t>
  </si>
  <si>
    <t>Category</t>
  </si>
  <si>
    <t>Units Sold</t>
  </si>
  <si>
    <t>Unit Price</t>
  </si>
  <si>
    <t>Total Sales</t>
  </si>
  <si>
    <t>2025-03-02</t>
  </si>
  <si>
    <t>East</t>
  </si>
  <si>
    <t>Priya</t>
  </si>
  <si>
    <t>Monitor</t>
  </si>
  <si>
    <t>Electronics</t>
  </si>
  <si>
    <t>2025-04-14</t>
  </si>
  <si>
    <t>Sara</t>
  </si>
  <si>
    <t>Tablet</t>
  </si>
  <si>
    <t>2025-05-30</t>
  </si>
  <si>
    <t>South</t>
  </si>
  <si>
    <t>John</t>
  </si>
  <si>
    <t>Phone</t>
  </si>
  <si>
    <t>2025-02-06</t>
  </si>
  <si>
    <t>Neha</t>
  </si>
  <si>
    <t>Mouse</t>
  </si>
  <si>
    <t>Accessories</t>
  </si>
  <si>
    <t>2025-01-26</t>
  </si>
  <si>
    <t>Amit</t>
  </si>
  <si>
    <t>Headphones</t>
  </si>
  <si>
    <t>2025-02-25</t>
  </si>
  <si>
    <t>Keyboard</t>
  </si>
  <si>
    <t>2025-03-31</t>
  </si>
  <si>
    <t>2025-02-27</t>
  </si>
  <si>
    <t>West</t>
  </si>
  <si>
    <t>2025-06-13</t>
  </si>
  <si>
    <t>Laptop</t>
  </si>
  <si>
    <t>2025-04-02</t>
  </si>
  <si>
    <t>2025-06-22</t>
  </si>
  <si>
    <t>Ravi</t>
  </si>
  <si>
    <t>2025-03-12</t>
  </si>
  <si>
    <t>2025-01-23</t>
  </si>
  <si>
    <t>2025-01-14</t>
  </si>
  <si>
    <t>2025-04-17</t>
  </si>
  <si>
    <t>2025-06-05</t>
  </si>
  <si>
    <t>2025-03-27</t>
  </si>
  <si>
    <t>2025-05-19</t>
  </si>
  <si>
    <t>2025-04-12</t>
  </si>
  <si>
    <t>2025-04-23</t>
  </si>
  <si>
    <t>North</t>
  </si>
  <si>
    <t>2025-02-28</t>
  </si>
  <si>
    <t>2025-06-29</t>
  </si>
  <si>
    <t>2025-03-15</t>
  </si>
  <si>
    <t>2025-04-09</t>
  </si>
  <si>
    <t>2025-03-30</t>
  </si>
  <si>
    <t>2025-04-05</t>
  </si>
  <si>
    <t>2025-03-22</t>
  </si>
  <si>
    <t>2025-01-12</t>
  </si>
  <si>
    <t>2025-04-29</t>
  </si>
  <si>
    <t>2025-02-04</t>
  </si>
  <si>
    <t>2025-05-20</t>
  </si>
  <si>
    <t>2025-06-12</t>
  </si>
  <si>
    <t>2025-03-07</t>
  </si>
  <si>
    <t>2025-01-05</t>
  </si>
  <si>
    <t>2025-03-14</t>
  </si>
  <si>
    <t>2025-01-15</t>
  </si>
  <si>
    <t>2025-04-30</t>
  </si>
  <si>
    <t>2025-06-11</t>
  </si>
  <si>
    <t>2025-06-24</t>
  </si>
  <si>
    <t>2025-05-09</t>
  </si>
  <si>
    <t>2025-06-23</t>
  </si>
  <si>
    <t>2025-03-05</t>
  </si>
  <si>
    <t>2025-05-17</t>
  </si>
  <si>
    <t>2025-01-28</t>
  </si>
  <si>
    <t>2025-05-10</t>
  </si>
  <si>
    <t>2025-03-28</t>
  </si>
  <si>
    <t>2025-01-07</t>
  </si>
  <si>
    <t>2025-05-06</t>
  </si>
  <si>
    <t>2025-03-16</t>
  </si>
  <si>
    <t>2025-04-26</t>
  </si>
  <si>
    <t>2025-06-07</t>
  </si>
  <si>
    <t>2025-06-19</t>
  </si>
  <si>
    <t>2025-05-12</t>
  </si>
  <si>
    <t>2025-06-10</t>
  </si>
  <si>
    <t>2025-06-17</t>
  </si>
  <si>
    <t>2025-03-29</t>
  </si>
  <si>
    <t>2025-01-10</t>
  </si>
  <si>
    <t>2025-03-13</t>
  </si>
  <si>
    <t>2025-02-10</t>
  </si>
  <si>
    <t>2025-03-04</t>
  </si>
  <si>
    <t>2025-01-24</t>
  </si>
  <si>
    <t>2025-03-23</t>
  </si>
  <si>
    <t>2025-02-22</t>
  </si>
  <si>
    <t>2025-05-26</t>
  </si>
  <si>
    <t>2025-05-11</t>
  </si>
  <si>
    <t>2025-01-16</t>
  </si>
  <si>
    <t>2025-04-08</t>
  </si>
  <si>
    <t>2025-05-29</t>
  </si>
  <si>
    <t>2025-02-24</t>
  </si>
  <si>
    <t>2025-06-28</t>
  </si>
  <si>
    <t>2025-05-18</t>
  </si>
  <si>
    <t>2025-02-09</t>
  </si>
  <si>
    <t>2025-06-21</t>
  </si>
  <si>
    <t>2025-03-10</t>
  </si>
  <si>
    <t>2025-05-28</t>
  </si>
  <si>
    <t>2025-04-22</t>
  </si>
  <si>
    <t>2025-01-29</t>
  </si>
  <si>
    <t>2025-01-01</t>
  </si>
  <si>
    <t>2025-05-08</t>
  </si>
  <si>
    <t>2025-06-09</t>
  </si>
  <si>
    <t>2025-02-19</t>
  </si>
  <si>
    <t>2025-06-06</t>
  </si>
  <si>
    <t>2025-02-08</t>
  </si>
  <si>
    <t>2025-06-04</t>
  </si>
  <si>
    <t>2025-02-20</t>
  </si>
  <si>
    <t>2025-02-02</t>
  </si>
  <si>
    <t>2025-01-02</t>
  </si>
  <si>
    <t>2025-01-17</t>
  </si>
  <si>
    <t>2025-04-13</t>
  </si>
  <si>
    <t>2025-03-24</t>
  </si>
  <si>
    <t>2025-02-03</t>
  </si>
  <si>
    <t>2025-01-19</t>
  </si>
  <si>
    <t>2025-05-25</t>
  </si>
  <si>
    <t>City</t>
  </si>
  <si>
    <t>Department</t>
  </si>
  <si>
    <t>Discount %</t>
  </si>
  <si>
    <t>Customer Type</t>
  </si>
  <si>
    <t>Payment Method</t>
  </si>
  <si>
    <t>Pune</t>
  </si>
  <si>
    <t>Office</t>
  </si>
  <si>
    <t>Corporate</t>
  </si>
  <si>
    <t>Cash</t>
  </si>
  <si>
    <t>Bhubaneswar</t>
  </si>
  <si>
    <t>Retail</t>
  </si>
  <si>
    <t>Card</t>
  </si>
  <si>
    <t>Rahul</t>
  </si>
  <si>
    <t>Bank Transfer</t>
  </si>
  <si>
    <t>Lucknow</t>
  </si>
  <si>
    <t>Hyderabad</t>
  </si>
  <si>
    <t>Karan</t>
  </si>
  <si>
    <t>UPI</t>
  </si>
  <si>
    <t>Chennai</t>
  </si>
  <si>
    <t>Chandigarh</t>
  </si>
  <si>
    <t>Printer</t>
  </si>
  <si>
    <t>Kolkata</t>
  </si>
  <si>
    <t>Ahmedabad</t>
  </si>
  <si>
    <t>Patna</t>
  </si>
  <si>
    <t>Delhi</t>
  </si>
  <si>
    <t>Bangalore</t>
  </si>
  <si>
    <t>Mumbai</t>
  </si>
  <si>
    <t>2025-03-03</t>
  </si>
  <si>
    <t>Stationery</t>
  </si>
  <si>
    <t>Marker</t>
  </si>
  <si>
    <t>2025-02-05</t>
  </si>
  <si>
    <t>2025-01-11</t>
  </si>
  <si>
    <t>2025-04-20</t>
  </si>
  <si>
    <t>Furniture</t>
  </si>
  <si>
    <t>Chair</t>
  </si>
  <si>
    <t>File</t>
  </si>
  <si>
    <t>2025-02-12</t>
  </si>
  <si>
    <t>Sneha</t>
  </si>
  <si>
    <t>2025-03-01</t>
  </si>
  <si>
    <t>Notebook</t>
  </si>
  <si>
    <t>2025-03-21</t>
  </si>
  <si>
    <t>2025-02-13</t>
  </si>
  <si>
    <t>2025-01-30</t>
  </si>
  <si>
    <t>2025-02-16</t>
  </si>
  <si>
    <t>Arjun</t>
  </si>
  <si>
    <t>2025-02-15</t>
  </si>
  <si>
    <t>2025-02-26</t>
  </si>
  <si>
    <t>Table</t>
  </si>
  <si>
    <t>2025-02-17</t>
  </si>
  <si>
    <t>Cupboard</t>
  </si>
  <si>
    <t>2025-03-11</t>
  </si>
  <si>
    <t>2025-01-18</t>
  </si>
  <si>
    <t>2025-03-18</t>
  </si>
  <si>
    <t>2025-04-01</t>
  </si>
  <si>
    <t>Pen</t>
  </si>
  <si>
    <t>2025-04-11</t>
  </si>
  <si>
    <t>2025-04-24</t>
  </si>
  <si>
    <t>2025-04-16</t>
  </si>
  <si>
    <t>2025-04-19</t>
  </si>
  <si>
    <t>2025-04-21</t>
  </si>
  <si>
    <t>2025-05-01</t>
  </si>
  <si>
    <t>2025-04-27</t>
  </si>
  <si>
    <t>East Total</t>
  </si>
  <si>
    <t>2025-01-04</t>
  </si>
  <si>
    <t>2025-03-09</t>
  </si>
  <si>
    <t>2025-01-31</t>
  </si>
  <si>
    <t>2025-02-18</t>
  </si>
  <si>
    <t>2025-03-17</t>
  </si>
  <si>
    <t>2025-04-04</t>
  </si>
  <si>
    <t>North Total</t>
  </si>
  <si>
    <t>2025-01-22</t>
  </si>
  <si>
    <t>2025-01-25</t>
  </si>
  <si>
    <t>2025-04-15</t>
  </si>
  <si>
    <t>2025-02-11</t>
  </si>
  <si>
    <t>2025-01-03</t>
  </si>
  <si>
    <t>2025-03-08</t>
  </si>
  <si>
    <t>South Total</t>
  </si>
  <si>
    <t>West Total</t>
  </si>
  <si>
    <t>Grand Total</t>
  </si>
  <si>
    <t>Country</t>
  </si>
  <si>
    <t>Product Category</t>
  </si>
  <si>
    <t>Actual Sales</t>
  </si>
  <si>
    <t>Monthly Budget</t>
  </si>
  <si>
    <t>Profit</t>
  </si>
  <si>
    <t>Europe</t>
  </si>
  <si>
    <t>UK</t>
  </si>
  <si>
    <t>India</t>
  </si>
  <si>
    <t>Office Supplies</t>
  </si>
  <si>
    <t>Printer Paper</t>
  </si>
  <si>
    <t>Asia</t>
  </si>
  <si>
    <t>Japan</t>
  </si>
  <si>
    <t>Canada</t>
  </si>
  <si>
    <t>North America</t>
  </si>
  <si>
    <t>USA</t>
  </si>
  <si>
    <t>David</t>
  </si>
  <si>
    <t>2025-06-01</t>
  </si>
  <si>
    <t>South America</t>
  </si>
  <si>
    <t>Germany</t>
  </si>
  <si>
    <t>Home Appliances</t>
  </si>
  <si>
    <t>Microwave</t>
  </si>
  <si>
    <t>2025-02-14</t>
  </si>
  <si>
    <t>France</t>
  </si>
  <si>
    <t>Pen Pack</t>
  </si>
  <si>
    <t>Mixer</t>
  </si>
  <si>
    <t>Brazil</t>
  </si>
  <si>
    <t>Air Fryer</t>
  </si>
  <si>
    <t>2025-06-26</t>
  </si>
  <si>
    <t>2025-05-27</t>
  </si>
  <si>
    <t>2025-05-24</t>
  </si>
  <si>
    <t>2025-05-07</t>
  </si>
  <si>
    <t>2025-05-03</t>
  </si>
  <si>
    <t>2025-06-25</t>
  </si>
  <si>
    <t>2025-04-28</t>
  </si>
  <si>
    <t>2025-06-14</t>
  </si>
  <si>
    <t>2025-05-31</t>
  </si>
  <si>
    <t>2025-03-20</t>
  </si>
  <si>
    <t>2025-05-04</t>
  </si>
  <si>
    <t>2025-01-08</t>
  </si>
  <si>
    <t>2025-03-26</t>
  </si>
  <si>
    <t>2025-06-27</t>
  </si>
  <si>
    <t>Units_Sold</t>
  </si>
  <si>
    <t>Unit_Price</t>
  </si>
  <si>
    <t>Revenue</t>
  </si>
  <si>
    <t>Monthly_Budget</t>
  </si>
  <si>
    <t>Variance</t>
  </si>
  <si>
    <t>Smartwatch</t>
  </si>
  <si>
    <t>Liu</t>
  </si>
  <si>
    <t>Smartphone</t>
  </si>
  <si>
    <t>Carlos</t>
  </si>
  <si>
    <t>Mei</t>
  </si>
  <si>
    <t>Mexico</t>
  </si>
  <si>
    <t>Sarah</t>
  </si>
  <si>
    <t>Singapore</t>
  </si>
  <si>
    <t>Anita</t>
  </si>
  <si>
    <t>Cost</t>
  </si>
  <si>
    <t>Budget</t>
  </si>
  <si>
    <t>Customer_Segment</t>
  </si>
  <si>
    <t>Channel</t>
  </si>
  <si>
    <t>Luis</t>
  </si>
  <si>
    <t>Mobile Devices</t>
  </si>
  <si>
    <t>Government</t>
  </si>
  <si>
    <t>Direct Sales</t>
  </si>
  <si>
    <t>2025-08-23</t>
  </si>
  <si>
    <t>Small Business</t>
  </si>
  <si>
    <t>2025-09-15</t>
  </si>
  <si>
    <t>Eva</t>
  </si>
  <si>
    <t>Office Equipment</t>
  </si>
  <si>
    <t>Online</t>
  </si>
  <si>
    <t>2025-12-08</t>
  </si>
  <si>
    <t>Latin America</t>
  </si>
  <si>
    <t>Chile</t>
  </si>
  <si>
    <t>Nina</t>
  </si>
  <si>
    <t>Distributor</t>
  </si>
  <si>
    <t>2025-07-09</t>
  </si>
  <si>
    <t>Asia-Pacific</t>
  </si>
  <si>
    <t>2025-02-07</t>
  </si>
  <si>
    <t>Sophia</t>
  </si>
  <si>
    <t>Lena</t>
  </si>
  <si>
    <t>2025-08-21</t>
  </si>
  <si>
    <t>Middle East</t>
  </si>
  <si>
    <t>Qatar</t>
  </si>
  <si>
    <t>Wei</t>
  </si>
  <si>
    <t>Consumer</t>
  </si>
  <si>
    <t>2025-10-07</t>
  </si>
  <si>
    <t>Australia</t>
  </si>
  <si>
    <t>2025-07-28</t>
  </si>
  <si>
    <t>UAE</t>
  </si>
  <si>
    <t>Daniel</t>
  </si>
  <si>
    <t>Italy</t>
  </si>
  <si>
    <t>Saudi Arabia</t>
  </si>
  <si>
    <t>2025-02-21</t>
  </si>
  <si>
    <t>Kuwait</t>
  </si>
  <si>
    <t>2025-09-21</t>
  </si>
  <si>
    <t>2025-08-24</t>
  </si>
  <si>
    <t>2025-08-04</t>
  </si>
  <si>
    <t>Netherlands</t>
  </si>
  <si>
    <t>Tom</t>
  </si>
  <si>
    <t>Router</t>
  </si>
  <si>
    <t>2025-12-01</t>
  </si>
  <si>
    <t>2025-08-31</t>
  </si>
  <si>
    <t>Peru</t>
  </si>
  <si>
    <t>Olga</t>
  </si>
  <si>
    <t>2025-04-03</t>
  </si>
  <si>
    <t>2025-08-20</t>
  </si>
  <si>
    <t>2025-10-21</t>
  </si>
  <si>
    <t>2025-12-30</t>
  </si>
  <si>
    <t>2025-10-22</t>
  </si>
  <si>
    <t>2025-08-28</t>
  </si>
  <si>
    <t>Argentina</t>
  </si>
  <si>
    <t>2025-05-22</t>
  </si>
  <si>
    <t>2025-09-03</t>
  </si>
  <si>
    <t>China</t>
  </si>
  <si>
    <t>Fatima</t>
  </si>
  <si>
    <t>2025-10-25</t>
  </si>
  <si>
    <t>2025-10-16</t>
  </si>
  <si>
    <t>2025-09-25</t>
  </si>
  <si>
    <t>2025-05-15</t>
  </si>
  <si>
    <t>2025-09-14</t>
  </si>
  <si>
    <t>2025-10-03</t>
  </si>
  <si>
    <t>2025-11-08</t>
  </si>
  <si>
    <t>2025-12-16</t>
  </si>
  <si>
    <t>2025-09-30</t>
  </si>
  <si>
    <t>2025-07-18</t>
  </si>
  <si>
    <t>2025-07-20</t>
  </si>
  <si>
    <t>South Korea</t>
  </si>
  <si>
    <t>2025-11-03</t>
  </si>
  <si>
    <t>2025-12-07</t>
  </si>
  <si>
    <t>2025-11-25</t>
  </si>
  <si>
    <t>2025-11-30</t>
  </si>
  <si>
    <t>2025-11-11</t>
  </si>
  <si>
    <t>2025-12-11</t>
  </si>
  <si>
    <t>2025-07-17</t>
  </si>
  <si>
    <t>Ahmed</t>
  </si>
  <si>
    <t>2025-12-10</t>
  </si>
  <si>
    <t>2025-08-11</t>
  </si>
  <si>
    <t>2025-08-07</t>
  </si>
  <si>
    <t>2025-10-13</t>
  </si>
  <si>
    <t>2025-08-02</t>
  </si>
  <si>
    <t>2025-07-27</t>
  </si>
  <si>
    <t>2025-08-08</t>
  </si>
  <si>
    <t>2025-04-06</t>
  </si>
  <si>
    <t>2025-08-09</t>
  </si>
  <si>
    <t>2025-04-07</t>
  </si>
  <si>
    <t>2025-06-16</t>
  </si>
  <si>
    <t>2025-01-13</t>
  </si>
  <si>
    <t>2025-07-30</t>
  </si>
  <si>
    <t>2025-11-14</t>
  </si>
  <si>
    <t>2025-11-04</t>
  </si>
  <si>
    <t>2025-12-21</t>
  </si>
  <si>
    <t>2025-08-29</t>
  </si>
  <si>
    <t>2025-08-27</t>
  </si>
  <si>
    <t>2025-09-09</t>
  </si>
  <si>
    <t>2025-10-09</t>
  </si>
  <si>
    <t>2025-12-31</t>
  </si>
  <si>
    <t>2025-07-21</t>
  </si>
  <si>
    <t>2025-06-15</t>
  </si>
  <si>
    <t>2025-07-29</t>
  </si>
  <si>
    <t>2025-07-07</t>
  </si>
  <si>
    <t>2025-05-21</t>
  </si>
  <si>
    <t>2025-08-17</t>
  </si>
  <si>
    <t>2025-08-14</t>
  </si>
  <si>
    <t>2025-12-17</t>
  </si>
  <si>
    <t>2025-07-15</t>
  </si>
  <si>
    <t>2025-05-05</t>
  </si>
  <si>
    <t>2025-10-01</t>
  </si>
  <si>
    <t>2025-12-29</t>
  </si>
  <si>
    <t>2025-11-15</t>
  </si>
  <si>
    <t>2025-10-08</t>
  </si>
  <si>
    <t>2025-06-08</t>
  </si>
  <si>
    <t>2025-11-29</t>
  </si>
  <si>
    <t>2025-08-30</t>
  </si>
  <si>
    <t>2025-02-23</t>
  </si>
  <si>
    <t>2025-09-11</t>
  </si>
  <si>
    <t>2025-09-16</t>
  </si>
  <si>
    <t>2025-01-27</t>
  </si>
  <si>
    <t>2025-07-13</t>
  </si>
  <si>
    <t>2025-11-09</t>
  </si>
  <si>
    <t>2025-05-13</t>
  </si>
  <si>
    <t>2025-08-26</t>
  </si>
  <si>
    <t>2025-04-18</t>
  </si>
  <si>
    <t>2025-12-20</t>
  </si>
  <si>
    <t>2025-10-29</t>
  </si>
  <si>
    <t>2025-09-26</t>
  </si>
  <si>
    <t>2025-11-24</t>
  </si>
  <si>
    <t>2025-11-26</t>
  </si>
  <si>
    <t>2025-06-20</t>
  </si>
  <si>
    <t>2025-07-11</t>
  </si>
  <si>
    <t>2025-10-04</t>
  </si>
  <si>
    <t>2025-07-16</t>
  </si>
  <si>
    <t>2025-09-12</t>
  </si>
  <si>
    <t>2025-08-16</t>
  </si>
  <si>
    <t>2025-05-16</t>
  </si>
  <si>
    <t>2025-10-14</t>
  </si>
  <si>
    <t>2025-12-13</t>
  </si>
  <si>
    <t>2025-06-18</t>
  </si>
  <si>
    <t>2025-12-27</t>
  </si>
  <si>
    <t>2025-09-24</t>
  </si>
  <si>
    <t>2025-12-28</t>
  </si>
  <si>
    <t>2025-09-06</t>
  </si>
  <si>
    <t>2025-05-02</t>
  </si>
  <si>
    <t>2025-10-02</t>
  </si>
  <si>
    <t>2025-09-17</t>
  </si>
  <si>
    <t>2025-11-18</t>
  </si>
  <si>
    <t>2025-03-25</t>
  </si>
  <si>
    <t>2025-09-27</t>
  </si>
  <si>
    <t>2025-01-21</t>
  </si>
  <si>
    <t>2025-10-28</t>
  </si>
  <si>
    <t>2025-07-08</t>
  </si>
  <si>
    <t>2025-10-10</t>
  </si>
  <si>
    <t>2025-09-28</t>
  </si>
  <si>
    <t>2025-07-06</t>
  </si>
  <si>
    <t>2025-09-07</t>
  </si>
  <si>
    <t>2025-11-07</t>
  </si>
  <si>
    <t>2025-02-01</t>
  </si>
  <si>
    <t>2025-09-01</t>
  </si>
  <si>
    <t>2025-12-19</t>
  </si>
  <si>
    <t>2025-11-05</t>
  </si>
  <si>
    <t>2025-10-17</t>
  </si>
  <si>
    <t>2025-07-31</t>
  </si>
  <si>
    <t>2025-01-06</t>
  </si>
  <si>
    <t>2025-12-02</t>
  </si>
  <si>
    <t>2025-07-05</t>
  </si>
  <si>
    <t>2025-09-13</t>
  </si>
  <si>
    <t>2025-11-21</t>
  </si>
  <si>
    <t>2025-05-23</t>
  </si>
  <si>
    <t>2025-08-06</t>
  </si>
  <si>
    <t>2025-12-26</t>
  </si>
  <si>
    <t>2025-08-10</t>
  </si>
  <si>
    <t>2025-12-18</t>
  </si>
  <si>
    <t>2025-10-24</t>
  </si>
  <si>
    <t>2025-10-27</t>
  </si>
  <si>
    <t>2025-06-02</t>
  </si>
  <si>
    <t>2025-08-01</t>
  </si>
  <si>
    <t>2025-11-27</t>
  </si>
  <si>
    <t>2025-12-24</t>
  </si>
  <si>
    <t>2025-10-26</t>
  </si>
  <si>
    <t>2025-08-25</t>
  </si>
  <si>
    <t>2025-09-22</t>
  </si>
  <si>
    <t>2025-07-14</t>
  </si>
  <si>
    <t>2025-05-14</t>
  </si>
  <si>
    <t>2025-11-17</t>
  </si>
  <si>
    <t>2025-10-15</t>
  </si>
  <si>
    <t>2025-11-22</t>
  </si>
  <si>
    <t>2025-10-12</t>
  </si>
  <si>
    <t>2025-11-19</t>
  </si>
  <si>
    <t>2025-11-28</t>
  </si>
  <si>
    <t>2025-08-19</t>
  </si>
  <si>
    <t>2025-09-18</t>
  </si>
  <si>
    <t>2025-10-11</t>
  </si>
  <si>
    <t>2025-12-15</t>
  </si>
  <si>
    <t>2025-11-20</t>
  </si>
  <si>
    <t>2025-12-23</t>
  </si>
  <si>
    <t>Units</t>
  </si>
  <si>
    <t>Order Total</t>
  </si>
  <si>
    <t>order year</t>
  </si>
  <si>
    <t>Sports</t>
  </si>
  <si>
    <t>Gym Equipment</t>
  </si>
  <si>
    <t>Average</t>
  </si>
  <si>
    <t>Count</t>
  </si>
  <si>
    <t>2024-08-28</t>
  </si>
  <si>
    <t>sports</t>
  </si>
  <si>
    <t>Outdoor</t>
  </si>
  <si>
    <t>2024-01-27</t>
  </si>
  <si>
    <t>Groceries</t>
  </si>
  <si>
    <t>Snacks</t>
  </si>
  <si>
    <t>2025-10-18</t>
  </si>
  <si>
    <t>Fruits</t>
  </si>
  <si>
    <t>2025-01-09</t>
  </si>
  <si>
    <t>Toys</t>
  </si>
  <si>
    <t>Board Games</t>
  </si>
  <si>
    <t>Clothing</t>
  </si>
  <si>
    <t>Jacket</t>
  </si>
  <si>
    <t>2024-07-11</t>
  </si>
  <si>
    <t>toys</t>
  </si>
  <si>
    <t>2024-01-15</t>
  </si>
  <si>
    <t>Cycling</t>
  </si>
  <si>
    <t>2025-07-24</t>
  </si>
  <si>
    <t>Automotive</t>
  </si>
  <si>
    <t>Cleaning</t>
  </si>
  <si>
    <t>2024-04-13</t>
  </si>
  <si>
    <t>Action Figures</t>
  </si>
  <si>
    <t>2024-03-31</t>
  </si>
  <si>
    <t>Dolls</t>
  </si>
  <si>
    <t>2024-02-06</t>
  </si>
  <si>
    <t>Shoes</t>
  </si>
  <si>
    <t>2024-05-30</t>
  </si>
  <si>
    <t>Dairy</t>
  </si>
  <si>
    <t>Home</t>
  </si>
  <si>
    <t>Decor</t>
  </si>
  <si>
    <t>Appliances</t>
  </si>
  <si>
    <t>Beauty</t>
  </si>
  <si>
    <t>Personal Care</t>
  </si>
  <si>
    <t>2024-04-19</t>
  </si>
  <si>
    <t>Educational</t>
  </si>
  <si>
    <t>2024-08-10</t>
  </si>
  <si>
    <t>Running</t>
  </si>
  <si>
    <t>2025-09-20</t>
  </si>
  <si>
    <t>2024-01-10</t>
  </si>
  <si>
    <t>Jeans</t>
  </si>
  <si>
    <t>Tools</t>
  </si>
  <si>
    <t>2025-07-26</t>
  </si>
  <si>
    <t>Kitchen</t>
  </si>
  <si>
    <t>2024-08-26</t>
  </si>
  <si>
    <t>Oils</t>
  </si>
  <si>
    <t>Car Accessories</t>
  </si>
  <si>
    <t>2024-02-26</t>
  </si>
  <si>
    <t>Skincare</t>
  </si>
  <si>
    <t>2024-03-14</t>
  </si>
  <si>
    <t>2024-02-03</t>
  </si>
  <si>
    <t>T-shirt</t>
  </si>
  <si>
    <t>Bedding</t>
  </si>
  <si>
    <t>Shirt</t>
  </si>
  <si>
    <t>2024-02-10</t>
  </si>
  <si>
    <t>Fitness</t>
  </si>
  <si>
    <t>2024-10-02</t>
  </si>
  <si>
    <t>2024-03-25</t>
  </si>
  <si>
    <t>2025-10-19</t>
  </si>
  <si>
    <t>2025-11-02</t>
  </si>
  <si>
    <t>2024-12-25</t>
  </si>
  <si>
    <t>2024-12-30</t>
  </si>
  <si>
    <t>2024-01-12</t>
  </si>
  <si>
    <t>2024-01-01</t>
  </si>
  <si>
    <t>2024-08-05</t>
  </si>
  <si>
    <t>Vegetables</t>
  </si>
  <si>
    <t>2024-06-23</t>
  </si>
  <si>
    <t>2024-01-07</t>
  </si>
  <si>
    <t>2024-10-21</t>
  </si>
  <si>
    <t>2024-09-23</t>
  </si>
  <si>
    <t>2024-04-17</t>
  </si>
  <si>
    <t>2024-09-09</t>
  </si>
  <si>
    <t>2025-06-30</t>
  </si>
  <si>
    <t>2024-07-01</t>
  </si>
  <si>
    <t>2024-01-05</t>
  </si>
  <si>
    <t>2025-07-22</t>
  </si>
  <si>
    <t>2024-10-27</t>
  </si>
  <si>
    <t>Fragrance</t>
  </si>
  <si>
    <t>2024-09-19</t>
  </si>
  <si>
    <t>2024-08-17</t>
  </si>
  <si>
    <t>2024-07-25</t>
  </si>
  <si>
    <t>Makeup</t>
  </si>
  <si>
    <t>2024-08-20</t>
  </si>
  <si>
    <t>Tires</t>
  </si>
  <si>
    <t>2024-11-23</t>
  </si>
  <si>
    <t>2024-04-28</t>
  </si>
  <si>
    <t>2024-03-15</t>
  </si>
  <si>
    <t>Haircare</t>
  </si>
  <si>
    <t>2024-12-09</t>
  </si>
  <si>
    <t>2024-06-19</t>
  </si>
  <si>
    <t>2024-12-11</t>
  </si>
  <si>
    <t>2024-10-01</t>
  </si>
  <si>
    <t>2024-02-20</t>
  </si>
  <si>
    <t>2024-12-26</t>
  </si>
  <si>
    <t>Puzzles</t>
  </si>
  <si>
    <t>2024-09-11</t>
  </si>
  <si>
    <t>2024-11-07</t>
  </si>
  <si>
    <t>2024-09-30</t>
  </si>
  <si>
    <t>2024-12-15</t>
  </si>
  <si>
    <t>2024-11-24</t>
  </si>
  <si>
    <t>2024-05-12</t>
  </si>
  <si>
    <t>2025-10-05</t>
  </si>
  <si>
    <t>2024-04-30</t>
  </si>
  <si>
    <t>2024-02-21</t>
  </si>
  <si>
    <t>2024-09-02</t>
  </si>
  <si>
    <t>2024-09-08</t>
  </si>
  <si>
    <t>2024-07-12</t>
  </si>
  <si>
    <t>2024-03-22</t>
  </si>
  <si>
    <t>2024-01-25</t>
  </si>
  <si>
    <t>Beverages</t>
  </si>
  <si>
    <t>2024-04-05</t>
  </si>
  <si>
    <t>2024-01-19</t>
  </si>
  <si>
    <t>2024-06-21</t>
  </si>
  <si>
    <t>2024-05-31</t>
  </si>
  <si>
    <t>2024-12-27</t>
  </si>
  <si>
    <t>2024-11-12</t>
  </si>
  <si>
    <t>2024-08-18</t>
  </si>
  <si>
    <t>2024-01-16</t>
  </si>
  <si>
    <t>2024-11-20</t>
  </si>
  <si>
    <t>2024-10-15</t>
  </si>
  <si>
    <t>2024-07-05</t>
  </si>
  <si>
    <t>2024-07-15</t>
  </si>
  <si>
    <t>2024-10-31</t>
  </si>
  <si>
    <t>2024-05-24</t>
  </si>
  <si>
    <t>2024-11-18</t>
  </si>
  <si>
    <t>2024-05-01</t>
  </si>
  <si>
    <t>2024-11-27</t>
  </si>
  <si>
    <t>2024-07-22</t>
  </si>
  <si>
    <t>2024-07-26</t>
  </si>
  <si>
    <t>2024-11-11</t>
  </si>
  <si>
    <t>2024-10-28</t>
  </si>
  <si>
    <t>2025-07-03</t>
  </si>
  <si>
    <t>2024-07-24</t>
  </si>
  <si>
    <t>2024-06-14</t>
  </si>
  <si>
    <t>2024-12-12</t>
  </si>
  <si>
    <t>2025-10-31</t>
  </si>
  <si>
    <t>2024-08-29</t>
  </si>
  <si>
    <t>Text Formula</t>
  </si>
  <si>
    <t>Text_Data</t>
  </si>
  <si>
    <t>Extra_Spaces</t>
  </si>
  <si>
    <t>Name</t>
  </si>
  <si>
    <t>Start_Date</t>
  </si>
  <si>
    <t>Days_Add</t>
  </si>
  <si>
    <t>Work_Days</t>
  </si>
  <si>
    <t>Score</t>
  </si>
  <si>
    <t>Rank_Helper</t>
  </si>
  <si>
    <t>Left</t>
  </si>
  <si>
    <t>Right</t>
  </si>
  <si>
    <t>Mid</t>
  </si>
  <si>
    <t>SampleText0</t>
  </si>
  <si>
    <t xml:space="preserve">   Text 0   </t>
  </si>
  <si>
    <t>priya singh</t>
  </si>
  <si>
    <t>2024-01-30</t>
  </si>
  <si>
    <t>B</t>
  </si>
  <si>
    <t>SampleText1</t>
  </si>
  <si>
    <t xml:space="preserve">   Text 1   </t>
  </si>
  <si>
    <t>rahul sharma</t>
  </si>
  <si>
    <t>2024-08-31</t>
  </si>
  <si>
    <t>SampleText2</t>
  </si>
  <si>
    <t xml:space="preserve">   Text 2   </t>
  </si>
  <si>
    <t>C</t>
  </si>
  <si>
    <t>SampleText3</t>
  </si>
  <si>
    <t xml:space="preserve">   Text 3   </t>
  </si>
  <si>
    <t>2024-08-04</t>
  </si>
  <si>
    <t>SampleText4</t>
  </si>
  <si>
    <t xml:space="preserve">   Text 4   </t>
  </si>
  <si>
    <t>2024-04-01</t>
  </si>
  <si>
    <t>SampleText5</t>
  </si>
  <si>
    <t xml:space="preserve">   Text 5   </t>
  </si>
  <si>
    <t>2024-08-22</t>
  </si>
  <si>
    <t>SampleText6</t>
  </si>
  <si>
    <t xml:space="preserve">   Text 6   </t>
  </si>
  <si>
    <t>SampleText7</t>
  </si>
  <si>
    <t xml:space="preserve">   Text 7   </t>
  </si>
  <si>
    <t>2024-10-13</t>
  </si>
  <si>
    <t>A</t>
  </si>
  <si>
    <t>SampleText8</t>
  </si>
  <si>
    <t xml:space="preserve">   Text 8   </t>
  </si>
  <si>
    <t>anita joseph</t>
  </si>
  <si>
    <t>SampleText9</t>
  </si>
  <si>
    <t xml:space="preserve">   Text 9   </t>
  </si>
  <si>
    <t>tanmay rana</t>
  </si>
  <si>
    <t>2024-03-03</t>
  </si>
  <si>
    <t>SampleText10</t>
  </si>
  <si>
    <t xml:space="preserve">   Text 10   </t>
  </si>
  <si>
    <t>2024-11-10</t>
  </si>
  <si>
    <t>SampleText11</t>
  </si>
  <si>
    <t xml:space="preserve">   Text 11   </t>
  </si>
  <si>
    <t>vikram patel</t>
  </si>
  <si>
    <t>2024-05-08</t>
  </si>
  <si>
    <t>SampleText12</t>
  </si>
  <si>
    <t xml:space="preserve">   Text 12   </t>
  </si>
  <si>
    <t>2024-10-25</t>
  </si>
  <si>
    <t>SampleText13</t>
  </si>
  <si>
    <t xml:space="preserve">   Text 13   </t>
  </si>
  <si>
    <t>SampleText14</t>
  </si>
  <si>
    <t xml:space="preserve">   Text 14   </t>
  </si>
  <si>
    <t>2024-08-27</t>
  </si>
  <si>
    <t>SampleText15</t>
  </si>
  <si>
    <t xml:space="preserve">   Text 15   </t>
  </si>
  <si>
    <t>2024-11-03</t>
  </si>
  <si>
    <t>SampleText16</t>
  </si>
  <si>
    <t xml:space="preserve">   Text 16   </t>
  </si>
  <si>
    <t>2024-04-09</t>
  </si>
  <si>
    <t>SampleText17</t>
  </si>
  <si>
    <t xml:space="preserve">   Text 17   </t>
  </si>
  <si>
    <t>2024-03-26</t>
  </si>
  <si>
    <t>SampleText18</t>
  </si>
  <si>
    <t xml:space="preserve">   Text 18   </t>
  </si>
  <si>
    <t>SampleText19</t>
  </si>
  <si>
    <t xml:space="preserve">   Text 19   </t>
  </si>
  <si>
    <t>2024-05-18</t>
  </si>
  <si>
    <t>SampleText20</t>
  </si>
  <si>
    <t xml:space="preserve">   Text 20   </t>
  </si>
  <si>
    <t>2024-05-21</t>
  </si>
  <si>
    <t>SampleText21</t>
  </si>
  <si>
    <t xml:space="preserve">   Text 21   </t>
  </si>
  <si>
    <t>2024-09-04</t>
  </si>
  <si>
    <t>SampleText22</t>
  </si>
  <si>
    <t xml:space="preserve">   Text 22   </t>
  </si>
  <si>
    <t>SampleText23</t>
  </si>
  <si>
    <t xml:space="preserve">   Text 23   </t>
  </si>
  <si>
    <t>2024-02-11</t>
  </si>
  <si>
    <t>SampleText24</t>
  </si>
  <si>
    <t xml:space="preserve">   Text 24   </t>
  </si>
  <si>
    <t>2024-06-01</t>
  </si>
  <si>
    <t>SampleText25</t>
  </si>
  <si>
    <t xml:space="preserve">   Text 25   </t>
  </si>
  <si>
    <t>SampleText26</t>
  </si>
  <si>
    <t xml:space="preserve">   Text 26   </t>
  </si>
  <si>
    <t>2024-05-10</t>
  </si>
  <si>
    <t>SampleText27</t>
  </si>
  <si>
    <t xml:space="preserve">   Text 27   </t>
  </si>
  <si>
    <t>2024-11-05</t>
  </si>
  <si>
    <t>SampleText28</t>
  </si>
  <si>
    <t xml:space="preserve">   Text 28   </t>
  </si>
  <si>
    <t>2024-06-09</t>
  </si>
  <si>
    <t>SampleText29</t>
  </si>
  <si>
    <t xml:space="preserve">   Text 29   </t>
  </si>
  <si>
    <t>2024-02-02</t>
  </si>
  <si>
    <t>SampleText30</t>
  </si>
  <si>
    <t xml:space="preserve">   Text 30   </t>
  </si>
  <si>
    <t>2024-07-06</t>
  </si>
  <si>
    <t>SampleText31</t>
  </si>
  <si>
    <t xml:space="preserve">   Text 31   </t>
  </si>
  <si>
    <t>2024-07-23</t>
  </si>
  <si>
    <t>SampleText32</t>
  </si>
  <si>
    <t xml:space="preserve">   Text 32   </t>
  </si>
  <si>
    <t>2024-11-06</t>
  </si>
  <si>
    <t>SampleText33</t>
  </si>
  <si>
    <t xml:space="preserve">   Text 33   </t>
  </si>
  <si>
    <t>2024-03-08</t>
  </si>
  <si>
    <t>SampleText34</t>
  </si>
  <si>
    <t xml:space="preserve">   Text 34   </t>
  </si>
  <si>
    <t>SampleText35</t>
  </si>
  <si>
    <t xml:space="preserve">   Text 35   </t>
  </si>
  <si>
    <t>2024-10-29</t>
  </si>
  <si>
    <t>SampleText36</t>
  </si>
  <si>
    <t xml:space="preserve">   Text 36   </t>
  </si>
  <si>
    <t>SampleText37</t>
  </si>
  <si>
    <t xml:space="preserve">   Text 37   </t>
  </si>
  <si>
    <t>SampleText38</t>
  </si>
  <si>
    <t xml:space="preserve">   Text 38   </t>
  </si>
  <si>
    <t>2024-01-06</t>
  </si>
  <si>
    <t>SampleText39</t>
  </si>
  <si>
    <t xml:space="preserve">   Text 39   </t>
  </si>
  <si>
    <t>2024-05-19</t>
  </si>
  <si>
    <t>SampleText40</t>
  </si>
  <si>
    <t xml:space="preserve">   Text 40   </t>
  </si>
  <si>
    <t>2024-08-07</t>
  </si>
  <si>
    <t>SampleText41</t>
  </si>
  <si>
    <t xml:space="preserve">   Text 41   </t>
  </si>
  <si>
    <t>2024-06-28</t>
  </si>
  <si>
    <t>SampleText42</t>
  </si>
  <si>
    <t xml:space="preserve">   Text 42   </t>
  </si>
  <si>
    <t>2024-07-08</t>
  </si>
  <si>
    <t>SampleText43</t>
  </si>
  <si>
    <t xml:space="preserve">   Text 43   </t>
  </si>
  <si>
    <t>SampleText44</t>
  </si>
  <si>
    <t xml:space="preserve">   Text 44   </t>
  </si>
  <si>
    <t>SampleText45</t>
  </si>
  <si>
    <t xml:space="preserve">   Text 45   </t>
  </si>
  <si>
    <t>2024-07-04</t>
  </si>
  <si>
    <t>SampleText46</t>
  </si>
  <si>
    <t xml:space="preserve">   Text 46   </t>
  </si>
  <si>
    <t>2024-10-19</t>
  </si>
  <si>
    <t>SampleText47</t>
  </si>
  <si>
    <t xml:space="preserve">   Text 47   </t>
  </si>
  <si>
    <t>SampleText48</t>
  </si>
  <si>
    <t xml:space="preserve">   Text 48   </t>
  </si>
  <si>
    <t>2024-12-05</t>
  </si>
  <si>
    <t>SampleText49</t>
  </si>
  <si>
    <t xml:space="preserve">   Text 49   </t>
  </si>
  <si>
    <t>2024-09-12</t>
  </si>
  <si>
    <t>Company Name</t>
  </si>
  <si>
    <t>Product Name</t>
  </si>
  <si>
    <t>State</t>
  </si>
  <si>
    <t>Gender</t>
  </si>
  <si>
    <t>Quantity</t>
  </si>
  <si>
    <t>Rate</t>
  </si>
  <si>
    <t>BluePeak Solutions</t>
  </si>
  <si>
    <t>Telangana</t>
  </si>
  <si>
    <t>Male</t>
  </si>
  <si>
    <t>Nexora Technologies</t>
  </si>
  <si>
    <t>Football</t>
  </si>
  <si>
    <t>Maharashtra</t>
  </si>
  <si>
    <t>Female</t>
  </si>
  <si>
    <t>SilverLine Enterprises</t>
  </si>
  <si>
    <t>Tamil Nadu</t>
  </si>
  <si>
    <t>QuantumEdge Systems</t>
  </si>
  <si>
    <t>GreenWave Industries</t>
  </si>
  <si>
    <t>Food</t>
  </si>
  <si>
    <t>ApexNova Corp</t>
  </si>
  <si>
    <t>UrbanCore Ventures</t>
  </si>
  <si>
    <t>BrightPath Innovations</t>
  </si>
  <si>
    <t>OrionGrid Services</t>
  </si>
  <si>
    <t>ZenithCraft Ltd</t>
  </si>
  <si>
    <t>NovaSphere Solutions</t>
  </si>
  <si>
    <t>PrimeLink Technologies</t>
  </si>
  <si>
    <t>SkyBridge Enterprises</t>
  </si>
  <si>
    <t>AlphaNest Group</t>
  </si>
  <si>
    <t>FusionTrail Systems</t>
  </si>
  <si>
    <t>TerraLogic Industries</t>
  </si>
  <si>
    <t>Karnataka</t>
  </si>
  <si>
    <t>CloudNova Tech</t>
  </si>
  <si>
    <t>EverRise Ventures</t>
  </si>
  <si>
    <t>BoldStream Solutions</t>
  </si>
  <si>
    <t>InfinityWorks Ltd</t>
  </si>
  <si>
    <t>RapidAxis Corp</t>
  </si>
  <si>
    <t>CrystalPeak Industries</t>
  </si>
  <si>
    <t>StellarForge Systems</t>
  </si>
  <si>
    <t>EcoVista Enterprises</t>
  </si>
  <si>
    <t>CorePulse Technologies</t>
  </si>
  <si>
    <t>HorizonSync Solutions</t>
  </si>
  <si>
    <t>OmniEdge Ventures</t>
  </si>
  <si>
    <t>VertexWave Industries</t>
  </si>
  <si>
    <t>SilverOak Systems</t>
  </si>
  <si>
    <t>BrightNova Corp</t>
  </si>
  <si>
    <t>NextGen Horizon Ltd</t>
  </si>
  <si>
    <t>TrueNorth Technologies</t>
  </si>
  <si>
    <t>GreenAxis Solutions</t>
  </si>
  <si>
    <t>VelocityGrid Enterprises</t>
  </si>
  <si>
    <t>ApexBridge Industries</t>
  </si>
  <si>
    <t>NovaLink Systems</t>
  </si>
  <si>
    <t>EliteSphere Ventures</t>
  </si>
  <si>
    <t>TerraNova Solutions</t>
  </si>
  <si>
    <t>PowerNest Corp</t>
  </si>
  <si>
    <t>BlueOrbit Technologies</t>
  </si>
  <si>
    <t>PrimeVista Enterprises</t>
  </si>
  <si>
    <t>ClearPath Industries</t>
  </si>
  <si>
    <t>OrbitEdge Systems</t>
  </si>
  <si>
    <t>SmartCore Solutions</t>
  </si>
  <si>
    <t>UrbanWave Ventures</t>
  </si>
  <si>
    <t>ElevateTech Industries</t>
  </si>
  <si>
    <t>InfinityNest Corp</t>
  </si>
  <si>
    <t>VisionTrail Systems</t>
  </si>
  <si>
    <t>SparkLine Enterprises</t>
  </si>
  <si>
    <t>ZenithFlow Technologies</t>
  </si>
  <si>
    <t>result</t>
  </si>
  <si>
    <t>pv</t>
  </si>
  <si>
    <t>r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</si>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</sst>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₹&quot;\ #,##0.00"/>
  </numFmts>
  <fonts count="8" x14ac:knownFonts="1">
    <font>
      <sz val="11"/>
      <name val="Calibri"/>
      <scheme val="minor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name val="Calibri"/>
    </font>
    <font>
      <b/>
      <sz val="11"/>
      <name val="Calibri"/>
    </font>
    <font>
      <sz val="11"/>
      <color rgb="FF000000"/>
      <name val="Aptos Narrow"/>
    </font>
    <font>
      <sz val="11"/>
      <name val="Arial"/>
      <family val="18"/>
    </font>
  </fonts>
  <fills count="12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00B050"/>
        <bgColor rgb="FF00B050"/>
      </patternFill>
    </fill>
    <fill>
      <patternFill patternType="solid">
        <fgColor rgb="FF0070C0"/>
        <bgColor rgb="FF0070C0"/>
      </patternFill>
    </fill>
    <fill>
      <patternFill patternType="solid">
        <fgColor rgb="FF002060"/>
        <bgColor rgb="FF002060"/>
      </patternFill>
    </fill>
    <fill>
      <patternFill patternType="solid">
        <fgColor rgb="FF7030A0"/>
        <bgColor rgb="FF7030A0"/>
      </patternFill>
    </fill>
    <fill>
      <patternFill patternType="solid">
        <fgColor rgb="FFE7E6E6"/>
        <bgColor rgb="FFE7E6E6"/>
      </patternFill>
    </fill>
    <fill>
      <patternFill patternType="solid">
        <fgColor rgb="FFD9E2F3"/>
        <bgColor rgb="FFD9E2F3"/>
      </patternFill>
    </fill>
    <fill>
      <patternFill patternType="solid">
        <fgColor rgb="FFC00000"/>
        <bgColor rgb="FFC00000"/>
      </patternFill>
    </fill>
  </fills>
  <borders count="1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 applyFont="1" applyAlignment="1"/>
    <xf numFmtId="0" fontId="1" fillId="0" borderId="0" xfId="0" applyFont="1"/>
    <xf numFmtId="9" fontId="2" fillId="0" borderId="0" xfId="0" applyNumberFormat="1" applyFont="1"/>
    <xf numFmtId="0" fontId="4" fillId="3" borderId="4" xfId="0" applyFont="1" applyFill="1" applyBorder="1"/>
    <xf numFmtId="0" fontId="4" fillId="4" borderId="4" xfId="0" applyFont="1" applyFill="1" applyBorder="1"/>
    <xf numFmtId="0" fontId="4" fillId="5" borderId="4" xfId="0" applyFont="1" applyFill="1" applyBorder="1"/>
    <xf numFmtId="0" fontId="4" fillId="6" borderId="4" xfId="0" applyFont="1" applyFill="1" applyBorder="1"/>
    <xf numFmtId="0" fontId="4" fillId="2" borderId="4" xfId="0" applyFont="1" applyFill="1" applyBorder="1"/>
    <xf numFmtId="0" fontId="4" fillId="7" borderId="4" xfId="0" applyFont="1" applyFill="1" applyBorder="1"/>
    <xf numFmtId="0" fontId="4" fillId="8" borderId="4" xfId="0" applyFont="1" applyFill="1" applyBorder="1"/>
    <xf numFmtId="0" fontId="5" fillId="0" borderId="4" xfId="0" applyFont="1" applyBorder="1"/>
    <xf numFmtId="0" fontId="5" fillId="9" borderId="5" xfId="0" applyFont="1" applyFill="1" applyBorder="1"/>
    <xf numFmtId="0" fontId="1" fillId="10" borderId="4" xfId="0" applyFont="1" applyFill="1" applyBorder="1"/>
    <xf numFmtId="0" fontId="2" fillId="10" borderId="4" xfId="0" applyFont="1" applyFill="1" applyBorder="1"/>
    <xf numFmtId="0" fontId="2" fillId="10" borderId="5" xfId="0" applyFont="1" applyFill="1" applyBorder="1"/>
    <xf numFmtId="0" fontId="1" fillId="0" borderId="6" xfId="0" applyFont="1" applyBorder="1"/>
    <xf numFmtId="0" fontId="2" fillId="0" borderId="6" xfId="0" applyFont="1" applyBorder="1"/>
    <xf numFmtId="0" fontId="2" fillId="0" borderId="7" xfId="0" applyFont="1" applyBorder="1"/>
    <xf numFmtId="0" fontId="1" fillId="0" borderId="8" xfId="0" applyFont="1" applyBorder="1"/>
    <xf numFmtId="0" fontId="2" fillId="0" borderId="8" xfId="0" applyFont="1" applyBorder="1"/>
    <xf numFmtId="0" fontId="2" fillId="0" borderId="9" xfId="0" applyFont="1" applyBorder="1"/>
    <xf numFmtId="0" fontId="6" fillId="0" borderId="10" xfId="0" applyFont="1" applyBorder="1"/>
    <xf numFmtId="0" fontId="6" fillId="0" borderId="11" xfId="0" applyFont="1" applyBorder="1"/>
    <xf numFmtId="0" fontId="6" fillId="0" borderId="12" xfId="0" applyFont="1" applyBorder="1"/>
    <xf numFmtId="0" fontId="6" fillId="0" borderId="0" xfId="0" applyFont="1"/>
    <xf numFmtId="14" fontId="6" fillId="0" borderId="13" xfId="0" applyNumberFormat="1" applyFont="1" applyBorder="1"/>
    <xf numFmtId="0" fontId="6" fillId="0" borderId="9" xfId="0" applyFont="1" applyBorder="1"/>
    <xf numFmtId="9" fontId="6" fillId="0" borderId="9" xfId="0" applyNumberFormat="1" applyFont="1" applyBorder="1"/>
    <xf numFmtId="0" fontId="6" fillId="0" borderId="8" xfId="0" applyFont="1" applyBorder="1"/>
    <xf numFmtId="9" fontId="6" fillId="0" borderId="0" xfId="0" applyNumberFormat="1" applyFont="1"/>
    <xf numFmtId="14" fontId="6" fillId="0" borderId="14" xfId="0" applyNumberFormat="1" applyFont="1" applyBorder="1"/>
    <xf numFmtId="0" fontId="6" fillId="0" borderId="7" xfId="0" applyFont="1" applyBorder="1"/>
    <xf numFmtId="9" fontId="6" fillId="0" borderId="7" xfId="0" applyNumberFormat="1" applyFont="1" applyBorder="1"/>
    <xf numFmtId="0" fontId="6" fillId="0" borderId="6" xfId="0" applyFont="1" applyBorder="1"/>
    <xf numFmtId="0" fontId="5" fillId="0" borderId="0" xfId="0" applyFont="1"/>
    <xf numFmtId="14" fontId="2" fillId="0" borderId="0" xfId="0" applyNumberFormat="1" applyFont="1"/>
    <xf numFmtId="164" fontId="2" fillId="0" borderId="0" xfId="0" applyNumberFormat="1" applyFont="1"/>
    <xf numFmtId="0" fontId="7" fillId="0" borderId="0" xfId="0" applyFont="1" applyAlignment="1">
      <alignment wrapText="1"/>
    </xf>
    <xf numFmtId="10" fontId="1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11" borderId="15" xfId="0" applyFont="1" applyFill="1" applyBorder="1" applyAlignment="1">
      <alignment horizontal="center"/>
    </xf>
    <xf numFmtId="0" fontId="3" fillId="0" borderId="16" xfId="0" applyFont="1" applyBorder="1"/>
    <xf numFmtId="0" fontId="3" fillId="0" borderId="17" xfId="0" applyFont="1" applyBorder="1"/>
  </cellXfs>
  <cellStyles count="1">
    <cellStyle name="Normal" xfId="0" builtinId="0"/>
  </cellStyles>
  <dxfs count="3">
    <dxf>
      <fill>
        <patternFill patternType="solid">
          <fgColor rgb="FFFEF2CB"/>
          <bgColor rgb="FFFEF2CB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none"/>
      </fill>
    </dxf>
  </dxfs>
  <tableStyles count="1">
    <tableStyle name="Sheet2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theme" Target="theme/theme1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2" Type="http://schemas.openxmlformats.org/officeDocument/2006/relationships/worksheet" Target="worksheets/sheet2.xml" /><Relationship Id="rId16" Type="http://schemas.openxmlformats.org/officeDocument/2006/relationships/calcChain" Target="calcChain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5" Type="http://schemas.openxmlformats.org/officeDocument/2006/relationships/sharedStrings" Target="sharedStrings.xml" /><Relationship Id="rId10" Type="http://schemas.openxmlformats.org/officeDocument/2006/relationships/worksheet" Target="worksheets/sheet10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styles" Target="styles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Product Sales Report</a:t>
            </a:r>
          </a:p>
        </c:rich>
      </c:tx>
      <c:layout>
        <c:manualLayout>
          <c:xMode val="edge"/>
          <c:yMode val="edge"/>
          <c:x val="0.35393744531933513"/>
          <c:y val="3.7037037037037035E-2"/>
        </c:manualLayout>
      </c:layout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Product_A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'Sales Data'!$A$3:$A$8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'Sales Data'!$B$3:$B$8</c:f>
              <c:numCache>
                <c:formatCode>General</c:formatCode>
                <c:ptCount val="6"/>
                <c:pt idx="0">
                  <c:v>8790</c:v>
                </c:pt>
                <c:pt idx="1">
                  <c:v>8256</c:v>
                </c:pt>
                <c:pt idx="2">
                  <c:v>8389</c:v>
                </c:pt>
                <c:pt idx="3">
                  <c:v>6731</c:v>
                </c:pt>
                <c:pt idx="4">
                  <c:v>7501</c:v>
                </c:pt>
                <c:pt idx="5">
                  <c:v>3621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6EE-D449-A0DD-82C3756FA7E3}"/>
            </c:ext>
          </c:extLst>
        </c:ser>
        <c:ser>
          <c:idx val="1"/>
          <c:order val="1"/>
          <c:tx>
            <c:v>Product_B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'Sales Data'!$A$3:$A$8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'Sales Data'!$C$3:$C$8</c:f>
              <c:numCache>
                <c:formatCode>General</c:formatCode>
                <c:ptCount val="6"/>
                <c:pt idx="0">
                  <c:v>3097</c:v>
                </c:pt>
                <c:pt idx="1">
                  <c:v>9147</c:v>
                </c:pt>
                <c:pt idx="2">
                  <c:v>2423</c:v>
                </c:pt>
                <c:pt idx="3">
                  <c:v>5405</c:v>
                </c:pt>
                <c:pt idx="4">
                  <c:v>3606</c:v>
                </c:pt>
                <c:pt idx="5">
                  <c:v>2251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6EE-D449-A0DD-82C3756FA7E3}"/>
            </c:ext>
          </c:extLst>
        </c:ser>
        <c:ser>
          <c:idx val="2"/>
          <c:order val="2"/>
          <c:tx>
            <c:v>Product_C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'Sales Data'!$A$3:$A$8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'Sales Data'!$D$3:$D$8</c:f>
              <c:numCache>
                <c:formatCode>General</c:formatCode>
                <c:ptCount val="6"/>
                <c:pt idx="0">
                  <c:v>4155</c:v>
                </c:pt>
                <c:pt idx="1">
                  <c:v>4049</c:v>
                </c:pt>
                <c:pt idx="2">
                  <c:v>8871</c:v>
                </c:pt>
                <c:pt idx="3">
                  <c:v>7227</c:v>
                </c:pt>
                <c:pt idx="4">
                  <c:v>6157</c:v>
                </c:pt>
                <c:pt idx="5">
                  <c:v>6637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46EE-D449-A0DD-82C3756FA7E3}"/>
            </c:ext>
          </c:extLst>
        </c:ser>
        <c:ser>
          <c:idx val="3"/>
          <c:order val="3"/>
          <c:tx>
            <c:v>Product_D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'Sales Data'!$A$3:$A$8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'Sales Data'!$E$3:$E$8</c:f>
              <c:numCache>
                <c:formatCode>General</c:formatCode>
                <c:ptCount val="6"/>
                <c:pt idx="0">
                  <c:v>5584</c:v>
                </c:pt>
                <c:pt idx="1">
                  <c:v>7208</c:v>
                </c:pt>
                <c:pt idx="2">
                  <c:v>3018</c:v>
                </c:pt>
                <c:pt idx="3">
                  <c:v>7987</c:v>
                </c:pt>
                <c:pt idx="4">
                  <c:v>6628</c:v>
                </c:pt>
                <c:pt idx="5">
                  <c:v>7126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46EE-D449-A0DD-82C3756FA7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1910690"/>
        <c:axId val="1297229883"/>
      </c:barChart>
      <c:catAx>
        <c:axId val="2619106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0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97229883"/>
        <c:crosses val="autoZero"/>
        <c:auto val="1"/>
        <c:lblAlgn val="ctr"/>
        <c:lblOffset val="100"/>
        <c:noMultiLvlLbl val="1"/>
      </c:catAx>
      <c:valAx>
        <c:axId val="12972298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61910690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314325</xdr:colOff>
      <xdr:row>1</xdr:row>
      <xdr:rowOff>28575</xdr:rowOff>
    </xdr:from>
    <xdr:ext cx="4343400" cy="28765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M101">
  <tableColumns count="13">
    <tableColumn id="1" xr3:uid="{00000000-0010-0000-0000-000001000000}" name="Date"/>
    <tableColumn id="2" xr3:uid="{00000000-0010-0000-0000-000002000000}" name="Region"/>
    <tableColumn id="3" xr3:uid="{00000000-0010-0000-0000-000003000000}" name="City"/>
    <tableColumn id="4" xr3:uid="{00000000-0010-0000-0000-000004000000}" name="Salesperson"/>
    <tableColumn id="5" xr3:uid="{00000000-0010-0000-0000-000005000000}" name="Department"/>
    <tableColumn id="6" xr3:uid="{00000000-0010-0000-0000-000006000000}" name="Product"/>
    <tableColumn id="7" xr3:uid="{00000000-0010-0000-0000-000007000000}" name="Category"/>
    <tableColumn id="8" xr3:uid="{00000000-0010-0000-0000-000008000000}" name="Units Sold"/>
    <tableColumn id="9" xr3:uid="{00000000-0010-0000-0000-000009000000}" name="Unit Price"/>
    <tableColumn id="10" xr3:uid="{00000000-0010-0000-0000-00000A000000}" name="Discount %"/>
    <tableColumn id="11" xr3:uid="{00000000-0010-0000-0000-00000B000000}" name="Total Sales"/>
    <tableColumn id="12" xr3:uid="{00000000-0010-0000-0000-00000C000000}" name="Customer Type"/>
    <tableColumn id="13" xr3:uid="{00000000-0010-0000-0000-00000D000000}" name="Payment Method"/>
  </tableColumns>
  <tableStyleInfo name="Sheet2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"/>
  <sheetViews>
    <sheetView topLeftCell="A18" workbookViewId="0">
      <selection activeCell="E17" sqref="E17"/>
    </sheetView>
  </sheetViews>
  <sheetFormatPr defaultColWidth="14.390625" defaultRowHeight="15" customHeight="1" x14ac:dyDescent="0.2"/>
  <cols>
    <col min="1" max="1" width="10.89453125" customWidth="1"/>
    <col min="2" max="10" width="8.7421875" customWidth="1"/>
    <col min="11" max="11" width="10.6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7" t="s">
        <v>6</v>
      </c>
      <c r="H1" s="1" t="s">
        <v>875</v>
      </c>
      <c r="I1" s="1"/>
      <c r="J1" s="1"/>
      <c r="K1" s="1"/>
    </row>
    <row r="2" spans="1:11" x14ac:dyDescent="0.2">
      <c r="A2" s="1" t="s">
        <v>7</v>
      </c>
      <c r="B2" s="1">
        <v>97</v>
      </c>
      <c r="C2" s="1">
        <v>49</v>
      </c>
      <c r="D2" s="1">
        <v>88</v>
      </c>
      <c r="E2" s="1">
        <v>62</v>
      </c>
      <c r="F2" s="1">
        <f t="shared" ref="F2:F31" si="0">SUM(B2:E2)</f>
        <v>296</v>
      </c>
      <c r="G2" s="38">
        <f>F2/400</f>
        <v>0.74</v>
      </c>
      <c r="H2" s="35" t="str">
        <f>IF(G2&gt;40%,"pass","fail")</f>
        <v>pass</v>
      </c>
      <c r="I2" s="2"/>
      <c r="J2" s="2"/>
      <c r="K2" s="2"/>
    </row>
    <row r="3" spans="1:11" x14ac:dyDescent="0.2">
      <c r="A3" s="1" t="s">
        <v>8</v>
      </c>
      <c r="B3" s="1">
        <v>71</v>
      </c>
      <c r="C3" s="1">
        <v>43</v>
      </c>
      <c r="D3" s="1">
        <v>74</v>
      </c>
      <c r="E3" s="1">
        <v>54</v>
      </c>
      <c r="F3" s="1">
        <f t="shared" si="0"/>
        <v>242</v>
      </c>
      <c r="G3" s="38">
        <f t="shared" ref="G3:G31" si="1">F3/400</f>
        <v>0.60499999999999998</v>
      </c>
      <c r="H3" s="35" t="str">
        <f t="shared" ref="H3:H31" si="2">IF(G3&gt;40%,"pass","fail")</f>
        <v>pass</v>
      </c>
      <c r="I3" s="2"/>
      <c r="J3" s="2"/>
      <c r="K3" s="2"/>
    </row>
    <row r="4" spans="1:11" x14ac:dyDescent="0.2">
      <c r="A4" s="1" t="s">
        <v>9</v>
      </c>
      <c r="B4" s="1">
        <v>66</v>
      </c>
      <c r="C4" s="1">
        <v>94</v>
      </c>
      <c r="D4" s="1">
        <v>83</v>
      </c>
      <c r="E4" s="1">
        <v>59</v>
      </c>
      <c r="F4" s="1">
        <f t="shared" si="0"/>
        <v>302</v>
      </c>
      <c r="G4" s="38">
        <f t="shared" si="1"/>
        <v>0.755</v>
      </c>
      <c r="H4" s="35" t="str">
        <f t="shared" si="2"/>
        <v>pass</v>
      </c>
      <c r="I4" s="2"/>
      <c r="J4" s="2"/>
      <c r="K4" s="2"/>
    </row>
    <row r="5" spans="1:11" x14ac:dyDescent="0.2">
      <c r="A5" s="1" t="s">
        <v>10</v>
      </c>
      <c r="B5" s="1">
        <v>61</v>
      </c>
      <c r="C5" s="1">
        <v>46</v>
      </c>
      <c r="D5" s="1">
        <v>77</v>
      </c>
      <c r="E5" s="1">
        <v>58</v>
      </c>
      <c r="F5" s="1">
        <f t="shared" si="0"/>
        <v>242</v>
      </c>
      <c r="G5" s="38">
        <f t="shared" si="1"/>
        <v>0.60499999999999998</v>
      </c>
      <c r="H5" s="35" t="str">
        <f t="shared" si="2"/>
        <v>pass</v>
      </c>
      <c r="I5" s="2"/>
      <c r="J5" s="2"/>
      <c r="K5" s="2"/>
    </row>
    <row r="6" spans="1:11" x14ac:dyDescent="0.2">
      <c r="A6" s="1" t="s">
        <v>11</v>
      </c>
      <c r="B6" s="1">
        <v>40</v>
      </c>
      <c r="C6" s="1">
        <v>56</v>
      </c>
      <c r="D6" s="1">
        <v>91</v>
      </c>
      <c r="E6" s="1">
        <v>47</v>
      </c>
      <c r="F6" s="1">
        <f t="shared" si="0"/>
        <v>234</v>
      </c>
      <c r="G6" s="38">
        <f t="shared" si="1"/>
        <v>0.58499999999999996</v>
      </c>
      <c r="H6" s="35" t="str">
        <f t="shared" si="2"/>
        <v>pass</v>
      </c>
      <c r="I6" s="2"/>
      <c r="J6" s="2"/>
      <c r="K6" s="2"/>
    </row>
    <row r="7" spans="1:11" x14ac:dyDescent="0.2">
      <c r="A7" s="1" t="s">
        <v>12</v>
      </c>
      <c r="B7" s="1">
        <v>86</v>
      </c>
      <c r="C7" s="1">
        <v>69</v>
      </c>
      <c r="D7" s="1">
        <v>44</v>
      </c>
      <c r="E7" s="1">
        <v>98</v>
      </c>
      <c r="F7" s="1">
        <f t="shared" si="0"/>
        <v>297</v>
      </c>
      <c r="G7" s="38">
        <f t="shared" si="1"/>
        <v>0.74250000000000005</v>
      </c>
      <c r="H7" s="35" t="str">
        <f t="shared" si="2"/>
        <v>pass</v>
      </c>
      <c r="I7" s="2"/>
      <c r="J7" s="2"/>
      <c r="K7" s="2"/>
    </row>
    <row r="8" spans="1:11" x14ac:dyDescent="0.2">
      <c r="A8" s="1" t="s">
        <v>13</v>
      </c>
      <c r="B8" s="1">
        <v>51</v>
      </c>
      <c r="C8" s="1">
        <v>88</v>
      </c>
      <c r="D8" s="1">
        <v>81</v>
      </c>
      <c r="E8" s="1">
        <v>75</v>
      </c>
      <c r="F8" s="1">
        <f t="shared" si="0"/>
        <v>295</v>
      </c>
      <c r="G8" s="38">
        <f t="shared" si="1"/>
        <v>0.73750000000000004</v>
      </c>
      <c r="H8" s="35" t="str">
        <f t="shared" si="2"/>
        <v>pass</v>
      </c>
      <c r="I8" s="2"/>
      <c r="J8" s="2"/>
      <c r="K8" s="2"/>
    </row>
    <row r="9" spans="1:11" x14ac:dyDescent="0.2">
      <c r="A9" s="1" t="s">
        <v>14</v>
      </c>
      <c r="B9" s="1">
        <v>58</v>
      </c>
      <c r="C9" s="1">
        <v>74</v>
      </c>
      <c r="D9" s="1">
        <v>78</v>
      </c>
      <c r="E9" s="1">
        <v>59</v>
      </c>
      <c r="F9" s="1">
        <f t="shared" si="0"/>
        <v>269</v>
      </c>
      <c r="G9" s="38">
        <f t="shared" si="1"/>
        <v>0.67249999999999999</v>
      </c>
      <c r="H9" s="35" t="str">
        <f t="shared" si="2"/>
        <v>pass</v>
      </c>
      <c r="I9" s="2"/>
      <c r="J9" s="2"/>
      <c r="K9" s="2"/>
    </row>
    <row r="10" spans="1:11" x14ac:dyDescent="0.2">
      <c r="A10" s="1" t="s">
        <v>15</v>
      </c>
      <c r="B10" s="1">
        <v>85</v>
      </c>
      <c r="C10" s="1">
        <v>63</v>
      </c>
      <c r="D10" s="1">
        <v>88</v>
      </c>
      <c r="E10" s="1">
        <v>78</v>
      </c>
      <c r="F10" s="1">
        <f t="shared" si="0"/>
        <v>314</v>
      </c>
      <c r="G10" s="38">
        <f t="shared" si="1"/>
        <v>0.78500000000000003</v>
      </c>
      <c r="H10" s="35" t="str">
        <f t="shared" si="2"/>
        <v>pass</v>
      </c>
      <c r="I10" s="2"/>
      <c r="J10" s="2"/>
      <c r="K10" s="2"/>
    </row>
    <row r="11" spans="1:11" x14ac:dyDescent="0.2">
      <c r="A11" s="1" t="s">
        <v>16</v>
      </c>
      <c r="B11" s="1">
        <v>44</v>
      </c>
      <c r="C11" s="1">
        <v>76</v>
      </c>
      <c r="D11" s="1">
        <v>82</v>
      </c>
      <c r="E11" s="1">
        <v>45</v>
      </c>
      <c r="F11" s="1">
        <f t="shared" si="0"/>
        <v>247</v>
      </c>
      <c r="G11" s="38">
        <f t="shared" si="1"/>
        <v>0.61750000000000005</v>
      </c>
      <c r="H11" s="35" t="str">
        <f t="shared" si="2"/>
        <v>pass</v>
      </c>
      <c r="I11" s="2"/>
      <c r="J11" s="2"/>
      <c r="K11" s="2"/>
    </row>
    <row r="12" spans="1:11" x14ac:dyDescent="0.2">
      <c r="A12" s="1" t="s">
        <v>17</v>
      </c>
      <c r="B12" s="1">
        <v>74</v>
      </c>
      <c r="C12" s="1">
        <v>78</v>
      </c>
      <c r="D12" s="1">
        <v>54</v>
      </c>
      <c r="E12" s="1">
        <v>63</v>
      </c>
      <c r="F12" s="1">
        <f t="shared" si="0"/>
        <v>269</v>
      </c>
      <c r="G12" s="38">
        <f t="shared" si="1"/>
        <v>0.67249999999999999</v>
      </c>
      <c r="H12" s="35" t="str">
        <f t="shared" si="2"/>
        <v>pass</v>
      </c>
      <c r="I12" s="2"/>
      <c r="J12" s="2"/>
      <c r="K12" s="2"/>
    </row>
    <row r="13" spans="1:11" x14ac:dyDescent="0.2">
      <c r="A13" s="1" t="s">
        <v>18</v>
      </c>
      <c r="B13" s="1">
        <v>42</v>
      </c>
      <c r="C13" s="1">
        <v>78</v>
      </c>
      <c r="D13" s="1">
        <v>78</v>
      </c>
      <c r="E13" s="1">
        <v>74</v>
      </c>
      <c r="F13" s="1">
        <f t="shared" si="0"/>
        <v>272</v>
      </c>
      <c r="G13" s="38">
        <f t="shared" si="1"/>
        <v>0.68</v>
      </c>
      <c r="H13" s="35" t="str">
        <f t="shared" si="2"/>
        <v>pass</v>
      </c>
      <c r="I13" s="2"/>
      <c r="J13" s="2"/>
      <c r="K13" s="2"/>
    </row>
    <row r="14" spans="1:11" x14ac:dyDescent="0.2">
      <c r="A14" s="1" t="s">
        <v>19</v>
      </c>
      <c r="B14" s="1">
        <v>72</v>
      </c>
      <c r="C14" s="1">
        <v>66</v>
      </c>
      <c r="D14" s="1">
        <v>58</v>
      </c>
      <c r="E14" s="1">
        <v>50</v>
      </c>
      <c r="F14" s="1">
        <f t="shared" si="0"/>
        <v>246</v>
      </c>
      <c r="G14" s="38">
        <f t="shared" si="1"/>
        <v>0.61499999999999999</v>
      </c>
      <c r="H14" s="35" t="str">
        <f t="shared" si="2"/>
        <v>pass</v>
      </c>
      <c r="I14" s="2"/>
      <c r="J14" s="2"/>
      <c r="K14" s="2"/>
    </row>
    <row r="15" spans="1:11" x14ac:dyDescent="0.2">
      <c r="A15" s="1" t="s">
        <v>20</v>
      </c>
      <c r="B15" s="1">
        <v>85</v>
      </c>
      <c r="C15" s="1">
        <v>52</v>
      </c>
      <c r="D15" s="1">
        <v>54</v>
      </c>
      <c r="E15" s="1">
        <v>63</v>
      </c>
      <c r="F15" s="1">
        <f t="shared" si="0"/>
        <v>254</v>
      </c>
      <c r="G15" s="38">
        <f t="shared" si="1"/>
        <v>0.63500000000000001</v>
      </c>
      <c r="H15" s="35" t="str">
        <f t="shared" si="2"/>
        <v>pass</v>
      </c>
      <c r="I15" s="2"/>
      <c r="J15" s="2"/>
      <c r="K15" s="2"/>
    </row>
    <row r="16" spans="1:11" x14ac:dyDescent="0.2">
      <c r="A16" s="1" t="s">
        <v>21</v>
      </c>
      <c r="B16" s="1">
        <v>91</v>
      </c>
      <c r="C16" s="1">
        <v>61</v>
      </c>
      <c r="D16" s="1">
        <v>53</v>
      </c>
      <c r="E16" s="1">
        <v>51</v>
      </c>
      <c r="F16" s="1">
        <f t="shared" si="0"/>
        <v>256</v>
      </c>
      <c r="G16" s="38">
        <f t="shared" si="1"/>
        <v>0.64</v>
      </c>
      <c r="H16" s="35" t="str">
        <f t="shared" si="2"/>
        <v>pass</v>
      </c>
      <c r="I16" s="2"/>
      <c r="J16" s="2"/>
      <c r="K16" s="2"/>
    </row>
    <row r="17" spans="1:11" x14ac:dyDescent="0.2">
      <c r="A17" s="1" t="s">
        <v>22</v>
      </c>
      <c r="B17" s="1">
        <v>9</v>
      </c>
      <c r="C17" s="1">
        <v>20</v>
      </c>
      <c r="D17" s="1">
        <v>18</v>
      </c>
      <c r="E17" s="1">
        <v>22</v>
      </c>
      <c r="F17" s="1">
        <f t="shared" si="0"/>
        <v>69</v>
      </c>
      <c r="G17" s="38">
        <f t="shared" si="1"/>
        <v>0.17249999999999999</v>
      </c>
      <c r="H17" s="35" t="str">
        <f t="shared" si="2"/>
        <v>fail</v>
      </c>
      <c r="I17" s="2"/>
      <c r="J17" s="2"/>
      <c r="K17" s="2"/>
    </row>
    <row r="18" spans="1:11" x14ac:dyDescent="0.2">
      <c r="A18" s="1" t="s">
        <v>23</v>
      </c>
      <c r="B18" s="1">
        <v>64</v>
      </c>
      <c r="C18" s="1">
        <v>68</v>
      </c>
      <c r="D18" s="1">
        <v>68</v>
      </c>
      <c r="E18" s="1">
        <v>90</v>
      </c>
      <c r="F18" s="1">
        <f t="shared" si="0"/>
        <v>290</v>
      </c>
      <c r="G18" s="38">
        <f t="shared" si="1"/>
        <v>0.72499999999999998</v>
      </c>
      <c r="H18" s="35" t="str">
        <f t="shared" si="2"/>
        <v>pass</v>
      </c>
      <c r="I18" s="2"/>
      <c r="J18" s="2"/>
      <c r="K18" s="2"/>
    </row>
    <row r="19" spans="1:11" x14ac:dyDescent="0.2">
      <c r="A19" s="1" t="s">
        <v>24</v>
      </c>
      <c r="B19" s="1">
        <v>73</v>
      </c>
      <c r="C19" s="1">
        <v>55</v>
      </c>
      <c r="D19" s="1">
        <v>97</v>
      </c>
      <c r="E19" s="1">
        <v>100</v>
      </c>
      <c r="F19" s="1">
        <f t="shared" si="0"/>
        <v>325</v>
      </c>
      <c r="G19" s="38">
        <f t="shared" si="1"/>
        <v>0.8125</v>
      </c>
      <c r="H19" s="35" t="str">
        <f t="shared" si="2"/>
        <v>pass</v>
      </c>
      <c r="I19" s="2"/>
      <c r="J19" s="2"/>
      <c r="K19" s="2"/>
    </row>
    <row r="20" spans="1:11" x14ac:dyDescent="0.2">
      <c r="A20" s="1" t="s">
        <v>25</v>
      </c>
      <c r="B20" s="1">
        <v>56</v>
      </c>
      <c r="C20" s="1">
        <v>60</v>
      </c>
      <c r="D20" s="1">
        <v>47</v>
      </c>
      <c r="E20" s="1">
        <v>82</v>
      </c>
      <c r="F20" s="1">
        <f t="shared" si="0"/>
        <v>245</v>
      </c>
      <c r="G20" s="38">
        <f t="shared" si="1"/>
        <v>0.61250000000000004</v>
      </c>
      <c r="H20" s="35" t="str">
        <f t="shared" si="2"/>
        <v>pass</v>
      </c>
      <c r="I20" s="2"/>
      <c r="J20" s="2"/>
      <c r="K20" s="2"/>
    </row>
    <row r="21" spans="1:11" ht="15.75" customHeight="1" x14ac:dyDescent="0.2">
      <c r="A21" s="1" t="s">
        <v>26</v>
      </c>
      <c r="B21" s="1">
        <v>77</v>
      </c>
      <c r="C21" s="1">
        <v>83</v>
      </c>
      <c r="D21" s="1">
        <v>88</v>
      </c>
      <c r="E21" s="1">
        <v>42</v>
      </c>
      <c r="F21" s="1">
        <f t="shared" si="0"/>
        <v>290</v>
      </c>
      <c r="G21" s="38">
        <f t="shared" si="1"/>
        <v>0.72499999999999998</v>
      </c>
      <c r="H21" s="35" t="str">
        <f t="shared" si="2"/>
        <v>pass</v>
      </c>
      <c r="I21" s="2"/>
      <c r="J21" s="2"/>
      <c r="K21" s="2"/>
    </row>
    <row r="22" spans="1:11" ht="15.75" customHeight="1" x14ac:dyDescent="0.2">
      <c r="A22" s="1" t="s">
        <v>27</v>
      </c>
      <c r="B22" s="1">
        <v>61</v>
      </c>
      <c r="C22" s="1">
        <v>55</v>
      </c>
      <c r="D22" s="1">
        <v>70</v>
      </c>
      <c r="E22" s="1">
        <v>73</v>
      </c>
      <c r="F22" s="1">
        <f t="shared" si="0"/>
        <v>259</v>
      </c>
      <c r="G22" s="38">
        <f t="shared" si="1"/>
        <v>0.64749999999999996</v>
      </c>
      <c r="H22" s="35" t="str">
        <f t="shared" si="2"/>
        <v>pass</v>
      </c>
      <c r="I22" s="2"/>
      <c r="J22" s="2"/>
      <c r="K22" s="2"/>
    </row>
    <row r="23" spans="1:11" ht="15.75" customHeight="1" x14ac:dyDescent="0.2">
      <c r="A23" s="1" t="s">
        <v>28</v>
      </c>
      <c r="B23" s="1">
        <v>78</v>
      </c>
      <c r="C23" s="1">
        <v>72</v>
      </c>
      <c r="D23" s="1">
        <v>59</v>
      </c>
      <c r="E23" s="1">
        <v>76</v>
      </c>
      <c r="F23" s="1">
        <f t="shared" si="0"/>
        <v>285</v>
      </c>
      <c r="G23" s="38">
        <f t="shared" si="1"/>
        <v>0.71250000000000002</v>
      </c>
      <c r="H23" s="35" t="str">
        <f t="shared" si="2"/>
        <v>pass</v>
      </c>
      <c r="I23" s="2"/>
      <c r="J23" s="2"/>
      <c r="K23" s="2"/>
    </row>
    <row r="24" spans="1:11" ht="15.75" customHeight="1" x14ac:dyDescent="0.2">
      <c r="A24" s="1" t="s">
        <v>29</v>
      </c>
      <c r="B24" s="1">
        <v>86</v>
      </c>
      <c r="C24" s="1">
        <v>48</v>
      </c>
      <c r="D24" s="1">
        <v>90</v>
      </c>
      <c r="E24" s="1">
        <v>61</v>
      </c>
      <c r="F24" s="1">
        <f t="shared" si="0"/>
        <v>285</v>
      </c>
      <c r="G24" s="38">
        <f t="shared" si="1"/>
        <v>0.71250000000000002</v>
      </c>
      <c r="H24" s="35" t="str">
        <f t="shared" si="2"/>
        <v>pass</v>
      </c>
      <c r="I24" s="2"/>
      <c r="J24" s="2"/>
      <c r="K24" s="2"/>
    </row>
    <row r="25" spans="1:11" ht="15.75" customHeight="1" x14ac:dyDescent="0.2">
      <c r="A25" s="1" t="s">
        <v>30</v>
      </c>
      <c r="B25" s="1">
        <v>56</v>
      </c>
      <c r="C25" s="1">
        <v>74</v>
      </c>
      <c r="D25" s="1">
        <v>82</v>
      </c>
      <c r="E25" s="1">
        <v>74</v>
      </c>
      <c r="F25" s="1">
        <f t="shared" si="0"/>
        <v>286</v>
      </c>
      <c r="G25" s="38">
        <f t="shared" si="1"/>
        <v>0.71499999999999997</v>
      </c>
      <c r="H25" s="35" t="str">
        <f t="shared" si="2"/>
        <v>pass</v>
      </c>
      <c r="I25" s="2"/>
      <c r="J25" s="2"/>
      <c r="K25" s="2"/>
    </row>
    <row r="26" spans="1:11" ht="15.75" customHeight="1" x14ac:dyDescent="0.2">
      <c r="A26" s="1" t="s">
        <v>31</v>
      </c>
      <c r="B26" s="1">
        <v>81</v>
      </c>
      <c r="C26" s="1">
        <v>56</v>
      </c>
      <c r="D26" s="1">
        <v>40</v>
      </c>
      <c r="E26" s="1">
        <v>45</v>
      </c>
      <c r="F26" s="1">
        <f t="shared" si="0"/>
        <v>222</v>
      </c>
      <c r="G26" s="38">
        <f t="shared" si="1"/>
        <v>0.55500000000000005</v>
      </c>
      <c r="H26" s="35" t="str">
        <f t="shared" si="2"/>
        <v>pass</v>
      </c>
      <c r="I26" s="2"/>
      <c r="J26" s="2"/>
      <c r="K26" s="2"/>
    </row>
    <row r="27" spans="1:11" ht="15.75" customHeight="1" x14ac:dyDescent="0.2">
      <c r="A27" s="1" t="s">
        <v>32</v>
      </c>
      <c r="B27" s="1">
        <v>94</v>
      </c>
      <c r="C27" s="1">
        <v>59</v>
      </c>
      <c r="D27" s="1">
        <v>73</v>
      </c>
      <c r="E27" s="1">
        <v>54</v>
      </c>
      <c r="F27" s="1">
        <f t="shared" si="0"/>
        <v>280</v>
      </c>
      <c r="G27" s="38">
        <f t="shared" si="1"/>
        <v>0.7</v>
      </c>
      <c r="H27" s="35" t="str">
        <f t="shared" si="2"/>
        <v>pass</v>
      </c>
      <c r="I27" s="2"/>
      <c r="J27" s="2"/>
      <c r="K27" s="2"/>
    </row>
    <row r="28" spans="1:11" ht="15.75" customHeight="1" x14ac:dyDescent="0.2">
      <c r="A28" s="1" t="s">
        <v>33</v>
      </c>
      <c r="B28" s="1">
        <v>81</v>
      </c>
      <c r="C28" s="1">
        <v>45</v>
      </c>
      <c r="D28" s="1">
        <v>56</v>
      </c>
      <c r="E28" s="1">
        <v>55</v>
      </c>
      <c r="F28" s="1">
        <f t="shared" si="0"/>
        <v>237</v>
      </c>
      <c r="G28" s="38">
        <f t="shared" si="1"/>
        <v>0.59250000000000003</v>
      </c>
      <c r="H28" s="35" t="str">
        <f t="shared" si="2"/>
        <v>pass</v>
      </c>
      <c r="I28" s="2"/>
      <c r="J28" s="2"/>
      <c r="K28" s="2"/>
    </row>
    <row r="29" spans="1:11" ht="15.75" customHeight="1" x14ac:dyDescent="0.2">
      <c r="A29" s="1" t="s">
        <v>34</v>
      </c>
      <c r="B29" s="1">
        <v>46</v>
      </c>
      <c r="C29" s="1">
        <v>98</v>
      </c>
      <c r="D29" s="1">
        <v>41</v>
      </c>
      <c r="E29" s="1">
        <v>100</v>
      </c>
      <c r="F29" s="1">
        <f t="shared" si="0"/>
        <v>285</v>
      </c>
      <c r="G29" s="38">
        <f t="shared" si="1"/>
        <v>0.71250000000000002</v>
      </c>
      <c r="H29" s="35" t="str">
        <f t="shared" si="2"/>
        <v>pass</v>
      </c>
      <c r="I29" s="2"/>
      <c r="J29" s="2"/>
      <c r="K29" s="2"/>
    </row>
    <row r="30" spans="1:11" ht="15.75" customHeight="1" x14ac:dyDescent="0.2">
      <c r="A30" s="1" t="s">
        <v>35</v>
      </c>
      <c r="B30" s="1">
        <v>96</v>
      </c>
      <c r="C30" s="1">
        <v>42</v>
      </c>
      <c r="D30" s="1">
        <v>64</v>
      </c>
      <c r="E30" s="1">
        <v>50</v>
      </c>
      <c r="F30" s="1">
        <f t="shared" si="0"/>
        <v>252</v>
      </c>
      <c r="G30" s="38">
        <f t="shared" si="1"/>
        <v>0.63</v>
      </c>
      <c r="H30" s="35" t="str">
        <f t="shared" si="2"/>
        <v>pass</v>
      </c>
      <c r="I30" s="2"/>
      <c r="J30" s="2"/>
      <c r="K30" s="2"/>
    </row>
    <row r="31" spans="1:11" ht="15.75" customHeight="1" x14ac:dyDescent="0.2">
      <c r="A31" s="1" t="s">
        <v>36</v>
      </c>
      <c r="B31" s="1">
        <v>42</v>
      </c>
      <c r="C31" s="1">
        <v>98</v>
      </c>
      <c r="D31" s="1">
        <v>53</v>
      </c>
      <c r="E31" s="1">
        <v>42</v>
      </c>
      <c r="F31" s="1">
        <f t="shared" si="0"/>
        <v>235</v>
      </c>
      <c r="G31" s="38">
        <f t="shared" si="1"/>
        <v>0.58750000000000002</v>
      </c>
      <c r="H31" s="35" t="str">
        <f t="shared" si="2"/>
        <v>pass</v>
      </c>
      <c r="I31" s="2"/>
      <c r="J31" s="2"/>
      <c r="K31" s="2"/>
    </row>
    <row r="32" spans="1:11" ht="15.75" customHeight="1" x14ac:dyDescent="0.2">
      <c r="H32" s="2"/>
      <c r="J32" s="2"/>
      <c r="K32" s="2"/>
    </row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14FC5-C54D-9A44-87B2-3F682E7876A5}">
  <dimension ref="A1:B3"/>
  <sheetViews>
    <sheetView tabSelected="1" zoomScaleNormal="60" zoomScaleSheetLayoutView="100" workbookViewId="0">
      <selection activeCell="B6" sqref="B6"/>
    </sheetView>
  </sheetViews>
  <sheetFormatPr defaultRowHeight="15" x14ac:dyDescent="0.2"/>
  <sheetData>
    <row r="1" spans="1:2" x14ac:dyDescent="0.2">
      <c r="A1" t="s">
        <v>876</v>
      </c>
      <c r="B1">
        <v>1000</v>
      </c>
    </row>
    <row r="2" spans="1:2" x14ac:dyDescent="0.2">
      <c r="A2" t="s">
        <v>877</v>
      </c>
      <c r="B2">
        <v>0.1</v>
      </c>
    </row>
    <row r="3" spans="1:2" x14ac:dyDescent="0.2">
      <c r="A3" t="s">
        <v>878</v>
      </c>
      <c r="B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"/>
  <sheetViews>
    <sheetView workbookViewId="0"/>
  </sheetViews>
  <sheetFormatPr defaultColWidth="14.390625" defaultRowHeight="15" customHeight="1" x14ac:dyDescent="0.2"/>
  <cols>
    <col min="1" max="1" width="9.14453125" customWidth="1"/>
    <col min="2" max="2" width="12.23828125" customWidth="1"/>
    <col min="3" max="4" width="12.10546875" customWidth="1"/>
    <col min="5" max="5" width="12.23828125" customWidth="1"/>
    <col min="6" max="6" width="12.375" customWidth="1"/>
    <col min="7" max="7" width="15.46875" customWidth="1"/>
    <col min="8" max="8" width="12.10546875" customWidth="1"/>
    <col min="9" max="9" width="11.8359375" customWidth="1"/>
    <col min="10" max="18" width="8.7421875" customWidth="1"/>
  </cols>
  <sheetData>
    <row r="1" spans="1:9" x14ac:dyDescent="0.2">
      <c r="A1" s="39" t="s">
        <v>37</v>
      </c>
      <c r="B1" s="40"/>
      <c r="C1" s="40"/>
      <c r="D1" s="40"/>
      <c r="E1" s="40"/>
      <c r="F1" s="40"/>
      <c r="G1" s="40"/>
      <c r="H1" s="40"/>
      <c r="I1" s="41"/>
    </row>
    <row r="2" spans="1:9" x14ac:dyDescent="0.2">
      <c r="A2" s="3" t="s">
        <v>38</v>
      </c>
      <c r="B2" s="4" t="s">
        <v>39</v>
      </c>
      <c r="C2" s="5" t="s">
        <v>40</v>
      </c>
      <c r="D2" s="6" t="s">
        <v>41</v>
      </c>
      <c r="E2" s="7" t="s">
        <v>42</v>
      </c>
      <c r="F2" s="8" t="s">
        <v>43</v>
      </c>
      <c r="G2" s="9" t="s">
        <v>44</v>
      </c>
      <c r="H2" s="10" t="s">
        <v>45</v>
      </c>
      <c r="I2" s="11" t="s">
        <v>46</v>
      </c>
    </row>
    <row r="3" spans="1:9" x14ac:dyDescent="0.2">
      <c r="A3" s="12" t="s">
        <v>47</v>
      </c>
      <c r="B3" s="12">
        <v>8790</v>
      </c>
      <c r="C3" s="12">
        <v>3097</v>
      </c>
      <c r="D3" s="12">
        <v>4155</v>
      </c>
      <c r="E3" s="12">
        <v>5584</v>
      </c>
      <c r="F3" s="12">
        <f t="shared" ref="F3:F14" si="0">SUM(B3:E3)</f>
        <v>21626</v>
      </c>
      <c r="G3" s="13">
        <f t="shared" ref="G3:G14" si="1">AVERAGE(B3:E3)</f>
        <v>5406.5</v>
      </c>
      <c r="H3" s="13">
        <f t="shared" ref="H3:H14" si="2">MAX(B3:E3)</f>
        <v>8790</v>
      </c>
      <c r="I3" s="14">
        <f t="shared" ref="I3:I14" si="3">MIN(B3:E3)</f>
        <v>3097</v>
      </c>
    </row>
    <row r="4" spans="1:9" x14ac:dyDescent="0.2">
      <c r="A4" s="15" t="s">
        <v>48</v>
      </c>
      <c r="B4" s="15">
        <v>8256</v>
      </c>
      <c r="C4" s="15">
        <v>9147</v>
      </c>
      <c r="D4" s="15">
        <v>4049</v>
      </c>
      <c r="E4" s="15">
        <v>7208</v>
      </c>
      <c r="F4" s="15">
        <f t="shared" si="0"/>
        <v>28660</v>
      </c>
      <c r="G4" s="16">
        <f t="shared" si="1"/>
        <v>7165</v>
      </c>
      <c r="H4" s="16">
        <f t="shared" si="2"/>
        <v>9147</v>
      </c>
      <c r="I4" s="17">
        <f t="shared" si="3"/>
        <v>4049</v>
      </c>
    </row>
    <row r="5" spans="1:9" x14ac:dyDescent="0.2">
      <c r="A5" s="12" t="s">
        <v>49</v>
      </c>
      <c r="B5" s="12">
        <v>8389</v>
      </c>
      <c r="C5" s="12">
        <v>2423</v>
      </c>
      <c r="D5" s="12">
        <v>8871</v>
      </c>
      <c r="E5" s="12">
        <v>3018</v>
      </c>
      <c r="F5" s="12">
        <f t="shared" si="0"/>
        <v>22701</v>
      </c>
      <c r="G5" s="13">
        <f t="shared" si="1"/>
        <v>5675.25</v>
      </c>
      <c r="H5" s="13">
        <f t="shared" si="2"/>
        <v>8871</v>
      </c>
      <c r="I5" s="14">
        <f t="shared" si="3"/>
        <v>2423</v>
      </c>
    </row>
    <row r="6" spans="1:9" x14ac:dyDescent="0.2">
      <c r="A6" s="15" t="s">
        <v>50</v>
      </c>
      <c r="B6" s="15">
        <v>6731</v>
      </c>
      <c r="C6" s="15">
        <v>5405</v>
      </c>
      <c r="D6" s="15">
        <v>7227</v>
      </c>
      <c r="E6" s="15">
        <v>7987</v>
      </c>
      <c r="F6" s="15">
        <f t="shared" si="0"/>
        <v>27350</v>
      </c>
      <c r="G6" s="16">
        <f t="shared" si="1"/>
        <v>6837.5</v>
      </c>
      <c r="H6" s="16">
        <f t="shared" si="2"/>
        <v>7987</v>
      </c>
      <c r="I6" s="17">
        <f t="shared" si="3"/>
        <v>5405</v>
      </c>
    </row>
    <row r="7" spans="1:9" x14ac:dyDescent="0.2">
      <c r="A7" s="12" t="s">
        <v>51</v>
      </c>
      <c r="B7" s="12">
        <v>7501</v>
      </c>
      <c r="C7" s="12">
        <v>3606</v>
      </c>
      <c r="D7" s="12">
        <v>6157</v>
      </c>
      <c r="E7" s="12">
        <v>6628</v>
      </c>
      <c r="F7" s="12">
        <f t="shared" si="0"/>
        <v>23892</v>
      </c>
      <c r="G7" s="13">
        <f t="shared" si="1"/>
        <v>5973</v>
      </c>
      <c r="H7" s="13">
        <f t="shared" si="2"/>
        <v>7501</v>
      </c>
      <c r="I7" s="14">
        <f t="shared" si="3"/>
        <v>3606</v>
      </c>
    </row>
    <row r="8" spans="1:9" x14ac:dyDescent="0.2">
      <c r="A8" s="15" t="s">
        <v>52</v>
      </c>
      <c r="B8" s="15">
        <v>3621</v>
      </c>
      <c r="C8" s="15">
        <v>2251</v>
      </c>
      <c r="D8" s="15">
        <v>6637</v>
      </c>
      <c r="E8" s="15">
        <v>7126</v>
      </c>
      <c r="F8" s="15">
        <f t="shared" si="0"/>
        <v>19635</v>
      </c>
      <c r="G8" s="16">
        <f t="shared" si="1"/>
        <v>4908.75</v>
      </c>
      <c r="H8" s="16">
        <f t="shared" si="2"/>
        <v>7126</v>
      </c>
      <c r="I8" s="17">
        <f t="shared" si="3"/>
        <v>2251</v>
      </c>
    </row>
    <row r="9" spans="1:9" x14ac:dyDescent="0.2">
      <c r="A9" s="12" t="s">
        <v>53</v>
      </c>
      <c r="B9" s="12">
        <v>6269</v>
      </c>
      <c r="C9" s="12">
        <v>8563</v>
      </c>
      <c r="D9" s="12">
        <v>4392</v>
      </c>
      <c r="E9" s="12">
        <v>2560</v>
      </c>
      <c r="F9" s="12">
        <f t="shared" si="0"/>
        <v>21784</v>
      </c>
      <c r="G9" s="13">
        <f t="shared" si="1"/>
        <v>5446</v>
      </c>
      <c r="H9" s="13">
        <f t="shared" si="2"/>
        <v>8563</v>
      </c>
      <c r="I9" s="14">
        <f t="shared" si="3"/>
        <v>2560</v>
      </c>
    </row>
    <row r="10" spans="1:9" x14ac:dyDescent="0.2">
      <c r="A10" s="15" t="s">
        <v>54</v>
      </c>
      <c r="B10" s="15">
        <v>8094</v>
      </c>
      <c r="C10" s="15">
        <v>2778</v>
      </c>
      <c r="D10" s="15">
        <v>1999</v>
      </c>
      <c r="E10" s="15">
        <v>7949</v>
      </c>
      <c r="F10" s="15">
        <f t="shared" si="0"/>
        <v>20820</v>
      </c>
      <c r="G10" s="16">
        <f t="shared" si="1"/>
        <v>5205</v>
      </c>
      <c r="H10" s="16">
        <f t="shared" si="2"/>
        <v>8094</v>
      </c>
      <c r="I10" s="17">
        <f t="shared" si="3"/>
        <v>1999</v>
      </c>
    </row>
    <row r="11" spans="1:9" x14ac:dyDescent="0.2">
      <c r="A11" s="12" t="s">
        <v>55</v>
      </c>
      <c r="B11" s="12">
        <v>4114</v>
      </c>
      <c r="C11" s="12">
        <v>3149</v>
      </c>
      <c r="D11" s="12">
        <v>4300</v>
      </c>
      <c r="E11" s="12">
        <v>5271</v>
      </c>
      <c r="F11" s="12">
        <f t="shared" si="0"/>
        <v>16834</v>
      </c>
      <c r="G11" s="13">
        <f t="shared" si="1"/>
        <v>4208.5</v>
      </c>
      <c r="H11" s="13">
        <f t="shared" si="2"/>
        <v>5271</v>
      </c>
      <c r="I11" s="14">
        <f t="shared" si="3"/>
        <v>3149</v>
      </c>
    </row>
    <row r="12" spans="1:9" x14ac:dyDescent="0.2">
      <c r="A12" s="15" t="s">
        <v>56</v>
      </c>
      <c r="B12" s="15">
        <v>4513</v>
      </c>
      <c r="C12" s="15">
        <v>4615</v>
      </c>
      <c r="D12" s="15">
        <v>9237</v>
      </c>
      <c r="E12" s="15">
        <v>4824</v>
      </c>
      <c r="F12" s="15">
        <f t="shared" si="0"/>
        <v>23189</v>
      </c>
      <c r="G12" s="16">
        <f t="shared" si="1"/>
        <v>5797.25</v>
      </c>
      <c r="H12" s="16">
        <f t="shared" si="2"/>
        <v>9237</v>
      </c>
      <c r="I12" s="17">
        <f t="shared" si="3"/>
        <v>4513</v>
      </c>
    </row>
    <row r="13" spans="1:9" x14ac:dyDescent="0.2">
      <c r="A13" s="12" t="s">
        <v>57</v>
      </c>
      <c r="B13" s="12">
        <v>3977</v>
      </c>
      <c r="C13" s="12">
        <v>6217</v>
      </c>
      <c r="D13" s="12">
        <v>6749</v>
      </c>
      <c r="E13" s="12">
        <v>7482</v>
      </c>
      <c r="F13" s="12">
        <f t="shared" si="0"/>
        <v>24425</v>
      </c>
      <c r="G13" s="13">
        <f t="shared" si="1"/>
        <v>6106.25</v>
      </c>
      <c r="H13" s="13">
        <f t="shared" si="2"/>
        <v>7482</v>
      </c>
      <c r="I13" s="14">
        <f t="shared" si="3"/>
        <v>3977</v>
      </c>
    </row>
    <row r="14" spans="1:9" x14ac:dyDescent="0.2">
      <c r="A14" s="18" t="s">
        <v>58</v>
      </c>
      <c r="B14" s="18">
        <v>5615</v>
      </c>
      <c r="C14" s="18">
        <v>4430</v>
      </c>
      <c r="D14" s="18">
        <v>8044</v>
      </c>
      <c r="E14" s="18">
        <v>6104</v>
      </c>
      <c r="F14" s="18">
        <f t="shared" si="0"/>
        <v>24193</v>
      </c>
      <c r="G14" s="19">
        <f t="shared" si="1"/>
        <v>6048.25</v>
      </c>
      <c r="H14" s="19">
        <f t="shared" si="2"/>
        <v>8044</v>
      </c>
      <c r="I14" s="20">
        <f t="shared" si="3"/>
        <v>4430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A1:I1"/>
  </mergeCells>
  <pageMargins left="0.7" right="0.7" top="0.75" bottom="0.75" header="0" footer="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21"/>
  <sheetViews>
    <sheetView workbookViewId="0"/>
  </sheetViews>
  <sheetFormatPr defaultColWidth="14.390625" defaultRowHeight="15" customHeight="1" x14ac:dyDescent="0.2"/>
  <cols>
    <col min="1" max="1" width="10.4921875" customWidth="1"/>
    <col min="2" max="2" width="7.12890625" customWidth="1"/>
    <col min="3" max="3" width="11.703125" customWidth="1"/>
    <col min="4" max="4" width="12.10546875" customWidth="1"/>
    <col min="5" max="5" width="11.296875" customWidth="1"/>
    <col min="6" max="6" width="9.81640625" customWidth="1"/>
    <col min="7" max="7" width="9.55078125" customWidth="1"/>
    <col min="8" max="8" width="10.4921875" customWidth="1"/>
    <col min="9" max="10" width="8.7421875" customWidth="1"/>
    <col min="11" max="11" width="11.43359375" customWidth="1"/>
  </cols>
  <sheetData>
    <row r="1" spans="1:11" x14ac:dyDescent="0.2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</row>
    <row r="2" spans="1:11" x14ac:dyDescent="0.2">
      <c r="A2" t="s">
        <v>67</v>
      </c>
      <c r="B2" t="s">
        <v>68</v>
      </c>
      <c r="C2" t="s">
        <v>69</v>
      </c>
      <c r="D2" t="s">
        <v>70</v>
      </c>
      <c r="E2" t="s">
        <v>71</v>
      </c>
      <c r="F2">
        <v>15</v>
      </c>
      <c r="G2">
        <v>15000</v>
      </c>
      <c r="H2">
        <f t="shared" ref="H2:H121" si="0">F2*G2</f>
        <v>225000</v>
      </c>
    </row>
    <row r="3" spans="1:11" x14ac:dyDescent="0.2">
      <c r="A3" t="s">
        <v>72</v>
      </c>
      <c r="B3" t="s">
        <v>68</v>
      </c>
      <c r="C3" t="s">
        <v>73</v>
      </c>
      <c r="D3" t="s">
        <v>74</v>
      </c>
      <c r="E3" t="s">
        <v>71</v>
      </c>
      <c r="F3">
        <v>7</v>
      </c>
      <c r="G3">
        <v>20000</v>
      </c>
      <c r="H3">
        <f t="shared" si="0"/>
        <v>140000</v>
      </c>
      <c r="J3">
        <v>1</v>
      </c>
      <c r="K3">
        <v>100</v>
      </c>
    </row>
    <row r="4" spans="1:11" x14ac:dyDescent="0.2">
      <c r="A4" t="s">
        <v>75</v>
      </c>
      <c r="B4" t="s">
        <v>76</v>
      </c>
      <c r="C4" t="s">
        <v>77</v>
      </c>
      <c r="D4" t="s">
        <v>78</v>
      </c>
      <c r="E4" t="s">
        <v>71</v>
      </c>
      <c r="F4">
        <v>13</v>
      </c>
      <c r="G4">
        <v>30000</v>
      </c>
      <c r="H4">
        <f t="shared" si="0"/>
        <v>390000</v>
      </c>
      <c r="J4">
        <v>2</v>
      </c>
    </row>
    <row r="5" spans="1:11" x14ac:dyDescent="0.2">
      <c r="A5" t="s">
        <v>79</v>
      </c>
      <c r="B5" t="s">
        <v>68</v>
      </c>
      <c r="C5" t="s">
        <v>80</v>
      </c>
      <c r="D5" t="s">
        <v>81</v>
      </c>
      <c r="E5" t="s">
        <v>82</v>
      </c>
      <c r="F5">
        <v>1</v>
      </c>
      <c r="G5">
        <v>800</v>
      </c>
      <c r="H5">
        <f t="shared" si="0"/>
        <v>800</v>
      </c>
      <c r="J5">
        <v>3</v>
      </c>
    </row>
    <row r="6" spans="1:11" x14ac:dyDescent="0.2">
      <c r="A6" t="s">
        <v>83</v>
      </c>
      <c r="B6" t="s">
        <v>76</v>
      </c>
      <c r="C6" t="s">
        <v>84</v>
      </c>
      <c r="D6" t="s">
        <v>85</v>
      </c>
      <c r="E6" t="s">
        <v>82</v>
      </c>
      <c r="F6">
        <v>9</v>
      </c>
      <c r="G6">
        <v>2000</v>
      </c>
      <c r="H6">
        <f t="shared" si="0"/>
        <v>18000</v>
      </c>
      <c r="J6">
        <v>4</v>
      </c>
    </row>
    <row r="7" spans="1:11" x14ac:dyDescent="0.2">
      <c r="A7" t="s">
        <v>86</v>
      </c>
      <c r="B7" t="s">
        <v>76</v>
      </c>
      <c r="C7" t="s">
        <v>69</v>
      </c>
      <c r="D7" t="s">
        <v>87</v>
      </c>
      <c r="E7" t="s">
        <v>82</v>
      </c>
      <c r="F7">
        <v>10</v>
      </c>
      <c r="G7">
        <v>1500</v>
      </c>
      <c r="H7">
        <f t="shared" si="0"/>
        <v>15000</v>
      </c>
      <c r="J7">
        <v>5</v>
      </c>
    </row>
    <row r="8" spans="1:11" x14ac:dyDescent="0.2">
      <c r="A8" t="s">
        <v>88</v>
      </c>
      <c r="B8" t="s">
        <v>68</v>
      </c>
      <c r="C8" t="s">
        <v>80</v>
      </c>
      <c r="D8" t="s">
        <v>87</v>
      </c>
      <c r="E8" t="s">
        <v>82</v>
      </c>
      <c r="F8">
        <v>10</v>
      </c>
      <c r="G8">
        <v>1500</v>
      </c>
      <c r="H8">
        <f t="shared" si="0"/>
        <v>15000</v>
      </c>
      <c r="J8">
        <v>6</v>
      </c>
    </row>
    <row r="9" spans="1:11" x14ac:dyDescent="0.2">
      <c r="A9" t="s">
        <v>89</v>
      </c>
      <c r="B9" t="s">
        <v>90</v>
      </c>
      <c r="C9" t="s">
        <v>69</v>
      </c>
      <c r="D9" t="s">
        <v>85</v>
      </c>
      <c r="E9" t="s">
        <v>82</v>
      </c>
      <c r="F9">
        <v>3</v>
      </c>
      <c r="G9">
        <v>2000</v>
      </c>
      <c r="H9">
        <f t="shared" si="0"/>
        <v>6000</v>
      </c>
      <c r="J9">
        <v>7</v>
      </c>
    </row>
    <row r="10" spans="1:11" x14ac:dyDescent="0.2">
      <c r="A10" t="s">
        <v>91</v>
      </c>
      <c r="B10" t="s">
        <v>76</v>
      </c>
      <c r="C10" t="s">
        <v>77</v>
      </c>
      <c r="D10" t="s">
        <v>92</v>
      </c>
      <c r="E10" t="s">
        <v>71</v>
      </c>
      <c r="F10">
        <v>8</v>
      </c>
      <c r="G10">
        <v>60000</v>
      </c>
      <c r="H10">
        <f t="shared" si="0"/>
        <v>480000</v>
      </c>
      <c r="J10">
        <v>8</v>
      </c>
    </row>
    <row r="11" spans="1:11" x14ac:dyDescent="0.2">
      <c r="A11" t="s">
        <v>93</v>
      </c>
      <c r="B11" t="s">
        <v>90</v>
      </c>
      <c r="C11" t="s">
        <v>73</v>
      </c>
      <c r="D11" t="s">
        <v>81</v>
      </c>
      <c r="E11" t="s">
        <v>82</v>
      </c>
      <c r="F11">
        <v>4</v>
      </c>
      <c r="G11">
        <v>800</v>
      </c>
      <c r="H11">
        <f t="shared" si="0"/>
        <v>3200</v>
      </c>
      <c r="J11">
        <v>9</v>
      </c>
    </row>
    <row r="12" spans="1:11" x14ac:dyDescent="0.2">
      <c r="A12" t="s">
        <v>94</v>
      </c>
      <c r="B12" t="s">
        <v>90</v>
      </c>
      <c r="C12" t="s">
        <v>95</v>
      </c>
      <c r="D12" t="s">
        <v>70</v>
      </c>
      <c r="E12" t="s">
        <v>71</v>
      </c>
      <c r="F12">
        <v>4</v>
      </c>
      <c r="G12">
        <v>15000</v>
      </c>
      <c r="H12">
        <f t="shared" si="0"/>
        <v>60000</v>
      </c>
      <c r="J12">
        <v>10</v>
      </c>
    </row>
    <row r="13" spans="1:11" x14ac:dyDescent="0.2">
      <c r="A13" t="s">
        <v>96</v>
      </c>
      <c r="B13" t="s">
        <v>68</v>
      </c>
      <c r="C13" t="s">
        <v>95</v>
      </c>
      <c r="D13" t="s">
        <v>78</v>
      </c>
      <c r="E13" t="s">
        <v>71</v>
      </c>
      <c r="F13">
        <v>7</v>
      </c>
      <c r="G13">
        <v>30000</v>
      </c>
      <c r="H13">
        <f t="shared" si="0"/>
        <v>210000</v>
      </c>
      <c r="J13">
        <v>11</v>
      </c>
    </row>
    <row r="14" spans="1:11" x14ac:dyDescent="0.2">
      <c r="A14" t="s">
        <v>97</v>
      </c>
      <c r="B14" t="s">
        <v>90</v>
      </c>
      <c r="C14" t="s">
        <v>73</v>
      </c>
      <c r="D14" t="s">
        <v>70</v>
      </c>
      <c r="E14" t="s">
        <v>71</v>
      </c>
      <c r="F14">
        <v>15</v>
      </c>
      <c r="G14">
        <v>15000</v>
      </c>
      <c r="H14">
        <f t="shared" si="0"/>
        <v>225000</v>
      </c>
      <c r="J14">
        <v>12</v>
      </c>
    </row>
    <row r="15" spans="1:11" x14ac:dyDescent="0.2">
      <c r="A15" t="s">
        <v>98</v>
      </c>
      <c r="B15" t="s">
        <v>76</v>
      </c>
      <c r="C15" t="s">
        <v>95</v>
      </c>
      <c r="D15" t="s">
        <v>92</v>
      </c>
      <c r="E15" t="s">
        <v>71</v>
      </c>
      <c r="F15">
        <v>15</v>
      </c>
      <c r="G15">
        <v>60000</v>
      </c>
      <c r="H15">
        <f t="shared" si="0"/>
        <v>900000</v>
      </c>
      <c r="J15">
        <v>13</v>
      </c>
    </row>
    <row r="16" spans="1:11" x14ac:dyDescent="0.2">
      <c r="A16" t="s">
        <v>99</v>
      </c>
      <c r="B16" t="s">
        <v>76</v>
      </c>
      <c r="C16" t="s">
        <v>95</v>
      </c>
      <c r="D16" t="s">
        <v>85</v>
      </c>
      <c r="E16" t="s">
        <v>82</v>
      </c>
      <c r="F16">
        <v>14</v>
      </c>
      <c r="G16">
        <v>2000</v>
      </c>
      <c r="H16">
        <f t="shared" si="0"/>
        <v>28000</v>
      </c>
      <c r="J16">
        <v>14</v>
      </c>
    </row>
    <row r="17" spans="1:10" x14ac:dyDescent="0.2">
      <c r="A17" t="s">
        <v>100</v>
      </c>
      <c r="B17" t="s">
        <v>90</v>
      </c>
      <c r="C17" t="s">
        <v>84</v>
      </c>
      <c r="D17" t="s">
        <v>78</v>
      </c>
      <c r="E17" t="s">
        <v>71</v>
      </c>
      <c r="F17">
        <v>13</v>
      </c>
      <c r="G17">
        <v>30000</v>
      </c>
      <c r="H17">
        <f t="shared" si="0"/>
        <v>390000</v>
      </c>
      <c r="J17">
        <v>15</v>
      </c>
    </row>
    <row r="18" spans="1:10" x14ac:dyDescent="0.2">
      <c r="A18" t="s">
        <v>101</v>
      </c>
      <c r="B18" t="s">
        <v>68</v>
      </c>
      <c r="C18" t="s">
        <v>80</v>
      </c>
      <c r="D18" t="s">
        <v>85</v>
      </c>
      <c r="E18" t="s">
        <v>82</v>
      </c>
      <c r="F18">
        <v>6</v>
      </c>
      <c r="G18">
        <v>2000</v>
      </c>
      <c r="H18">
        <f t="shared" si="0"/>
        <v>12000</v>
      </c>
    </row>
    <row r="19" spans="1:10" x14ac:dyDescent="0.2">
      <c r="A19" t="s">
        <v>102</v>
      </c>
      <c r="B19" t="s">
        <v>68</v>
      </c>
      <c r="C19" t="s">
        <v>77</v>
      </c>
      <c r="D19" t="s">
        <v>78</v>
      </c>
      <c r="E19" t="s">
        <v>71</v>
      </c>
      <c r="F19">
        <v>2</v>
      </c>
      <c r="G19">
        <v>30000</v>
      </c>
      <c r="H19">
        <f t="shared" si="0"/>
        <v>60000</v>
      </c>
    </row>
    <row r="20" spans="1:10" x14ac:dyDescent="0.2">
      <c r="A20" t="s">
        <v>103</v>
      </c>
      <c r="B20" t="s">
        <v>76</v>
      </c>
      <c r="C20" t="s">
        <v>77</v>
      </c>
      <c r="D20" t="s">
        <v>81</v>
      </c>
      <c r="E20" t="s">
        <v>82</v>
      </c>
      <c r="F20">
        <v>13</v>
      </c>
      <c r="G20">
        <v>800</v>
      </c>
      <c r="H20">
        <f t="shared" si="0"/>
        <v>10400</v>
      </c>
    </row>
    <row r="21" spans="1:10" ht="15.75" customHeight="1" x14ac:dyDescent="0.2">
      <c r="A21" t="s">
        <v>104</v>
      </c>
      <c r="B21" t="s">
        <v>105</v>
      </c>
      <c r="C21" t="s">
        <v>95</v>
      </c>
      <c r="D21" t="s">
        <v>74</v>
      </c>
      <c r="E21" t="s">
        <v>71</v>
      </c>
      <c r="F21">
        <v>15</v>
      </c>
      <c r="G21">
        <v>20000</v>
      </c>
      <c r="H21">
        <f t="shared" si="0"/>
        <v>300000</v>
      </c>
    </row>
    <row r="22" spans="1:10" ht="15.75" customHeight="1" x14ac:dyDescent="0.2">
      <c r="A22" t="s">
        <v>106</v>
      </c>
      <c r="B22" t="s">
        <v>76</v>
      </c>
      <c r="C22" t="s">
        <v>77</v>
      </c>
      <c r="D22" t="s">
        <v>70</v>
      </c>
      <c r="E22" t="s">
        <v>71</v>
      </c>
      <c r="F22">
        <v>3</v>
      </c>
      <c r="G22">
        <v>15000</v>
      </c>
      <c r="H22">
        <f t="shared" si="0"/>
        <v>45000</v>
      </c>
    </row>
    <row r="23" spans="1:10" ht="15.75" customHeight="1" x14ac:dyDescent="0.2">
      <c r="A23" t="s">
        <v>102</v>
      </c>
      <c r="B23" t="s">
        <v>68</v>
      </c>
      <c r="C23" t="s">
        <v>84</v>
      </c>
      <c r="D23" t="s">
        <v>92</v>
      </c>
      <c r="E23" t="s">
        <v>71</v>
      </c>
      <c r="F23">
        <v>6</v>
      </c>
      <c r="G23">
        <v>60000</v>
      </c>
      <c r="H23">
        <f t="shared" si="0"/>
        <v>360000</v>
      </c>
    </row>
    <row r="24" spans="1:10" ht="15.75" customHeight="1" x14ac:dyDescent="0.2">
      <c r="A24" t="s">
        <v>107</v>
      </c>
      <c r="B24" t="s">
        <v>68</v>
      </c>
      <c r="C24" t="s">
        <v>84</v>
      </c>
      <c r="D24" t="s">
        <v>78</v>
      </c>
      <c r="E24" t="s">
        <v>71</v>
      </c>
      <c r="F24">
        <v>4</v>
      </c>
      <c r="G24">
        <v>30000</v>
      </c>
      <c r="H24">
        <f t="shared" si="0"/>
        <v>120000</v>
      </c>
    </row>
    <row r="25" spans="1:10" ht="15.75" customHeight="1" x14ac:dyDescent="0.2">
      <c r="A25" t="s">
        <v>108</v>
      </c>
      <c r="B25" t="s">
        <v>68</v>
      </c>
      <c r="C25" t="s">
        <v>95</v>
      </c>
      <c r="D25" t="s">
        <v>87</v>
      </c>
      <c r="E25" t="s">
        <v>82</v>
      </c>
      <c r="F25">
        <v>14</v>
      </c>
      <c r="G25">
        <v>1500</v>
      </c>
      <c r="H25">
        <f t="shared" si="0"/>
        <v>21000</v>
      </c>
    </row>
    <row r="26" spans="1:10" ht="15.75" customHeight="1" x14ac:dyDescent="0.2">
      <c r="A26" t="s">
        <v>109</v>
      </c>
      <c r="B26" t="s">
        <v>68</v>
      </c>
      <c r="C26" t="s">
        <v>77</v>
      </c>
      <c r="D26" t="s">
        <v>78</v>
      </c>
      <c r="E26" t="s">
        <v>71</v>
      </c>
      <c r="F26">
        <v>13</v>
      </c>
      <c r="G26">
        <v>30000</v>
      </c>
      <c r="H26">
        <f t="shared" si="0"/>
        <v>390000</v>
      </c>
    </row>
    <row r="27" spans="1:10" ht="15.75" customHeight="1" x14ac:dyDescent="0.2">
      <c r="A27" t="s">
        <v>110</v>
      </c>
      <c r="B27" t="s">
        <v>90</v>
      </c>
      <c r="C27" t="s">
        <v>80</v>
      </c>
      <c r="D27" t="s">
        <v>87</v>
      </c>
      <c r="E27" t="s">
        <v>82</v>
      </c>
      <c r="F27">
        <v>10</v>
      </c>
      <c r="G27">
        <v>1500</v>
      </c>
      <c r="H27">
        <f t="shared" si="0"/>
        <v>15000</v>
      </c>
    </row>
    <row r="28" spans="1:10" ht="15.75" customHeight="1" x14ac:dyDescent="0.2">
      <c r="A28" t="s">
        <v>111</v>
      </c>
      <c r="B28" t="s">
        <v>76</v>
      </c>
      <c r="C28" t="s">
        <v>77</v>
      </c>
      <c r="D28" t="s">
        <v>78</v>
      </c>
      <c r="E28" t="s">
        <v>71</v>
      </c>
      <c r="F28">
        <v>7</v>
      </c>
      <c r="G28">
        <v>30000</v>
      </c>
      <c r="H28">
        <f t="shared" si="0"/>
        <v>210000</v>
      </c>
    </row>
    <row r="29" spans="1:10" ht="15.75" customHeight="1" x14ac:dyDescent="0.2">
      <c r="A29" t="s">
        <v>112</v>
      </c>
      <c r="B29" t="s">
        <v>105</v>
      </c>
      <c r="C29" t="s">
        <v>80</v>
      </c>
      <c r="D29" t="s">
        <v>70</v>
      </c>
      <c r="E29" t="s">
        <v>71</v>
      </c>
      <c r="F29">
        <v>6</v>
      </c>
      <c r="G29">
        <v>15000</v>
      </c>
      <c r="H29">
        <f t="shared" si="0"/>
        <v>90000</v>
      </c>
    </row>
    <row r="30" spans="1:10" ht="15.75" customHeight="1" x14ac:dyDescent="0.2">
      <c r="A30" t="s">
        <v>113</v>
      </c>
      <c r="B30" t="s">
        <v>105</v>
      </c>
      <c r="C30" t="s">
        <v>84</v>
      </c>
      <c r="D30" t="s">
        <v>92</v>
      </c>
      <c r="E30" t="s">
        <v>71</v>
      </c>
      <c r="F30">
        <v>3</v>
      </c>
      <c r="G30">
        <v>60000</v>
      </c>
      <c r="H30">
        <f t="shared" si="0"/>
        <v>180000</v>
      </c>
    </row>
    <row r="31" spans="1:10" ht="15.75" customHeight="1" x14ac:dyDescent="0.2">
      <c r="A31" t="s">
        <v>114</v>
      </c>
      <c r="B31" t="s">
        <v>105</v>
      </c>
      <c r="C31" t="s">
        <v>80</v>
      </c>
      <c r="D31" t="s">
        <v>87</v>
      </c>
      <c r="E31" t="s">
        <v>82</v>
      </c>
      <c r="F31">
        <v>9</v>
      </c>
      <c r="G31">
        <v>1500</v>
      </c>
      <c r="H31">
        <f t="shared" si="0"/>
        <v>13500</v>
      </c>
    </row>
    <row r="32" spans="1:10" ht="15.75" customHeight="1" x14ac:dyDescent="0.2">
      <c r="A32" t="s">
        <v>115</v>
      </c>
      <c r="B32" t="s">
        <v>90</v>
      </c>
      <c r="C32" t="s">
        <v>84</v>
      </c>
      <c r="D32" t="s">
        <v>92</v>
      </c>
      <c r="E32" t="s">
        <v>71</v>
      </c>
      <c r="F32">
        <v>7</v>
      </c>
      <c r="G32">
        <v>60000</v>
      </c>
      <c r="H32">
        <f t="shared" si="0"/>
        <v>420000</v>
      </c>
    </row>
    <row r="33" spans="1:8" ht="15.75" customHeight="1" x14ac:dyDescent="0.2">
      <c r="A33" t="s">
        <v>116</v>
      </c>
      <c r="B33" t="s">
        <v>105</v>
      </c>
      <c r="C33" t="s">
        <v>73</v>
      </c>
      <c r="D33" t="s">
        <v>74</v>
      </c>
      <c r="E33" t="s">
        <v>71</v>
      </c>
      <c r="F33">
        <v>7</v>
      </c>
      <c r="G33">
        <v>20000</v>
      </c>
      <c r="H33">
        <f t="shared" si="0"/>
        <v>140000</v>
      </c>
    </row>
    <row r="34" spans="1:8" ht="15.75" customHeight="1" x14ac:dyDescent="0.2">
      <c r="A34" t="s">
        <v>117</v>
      </c>
      <c r="B34" t="s">
        <v>68</v>
      </c>
      <c r="C34" t="s">
        <v>77</v>
      </c>
      <c r="D34" t="s">
        <v>70</v>
      </c>
      <c r="E34" t="s">
        <v>71</v>
      </c>
      <c r="F34">
        <v>14</v>
      </c>
      <c r="G34">
        <v>15000</v>
      </c>
      <c r="H34">
        <f t="shared" si="0"/>
        <v>210000</v>
      </c>
    </row>
    <row r="35" spans="1:8" ht="15.75" customHeight="1" x14ac:dyDescent="0.2">
      <c r="A35" t="s">
        <v>118</v>
      </c>
      <c r="B35" t="s">
        <v>105</v>
      </c>
      <c r="C35" t="s">
        <v>73</v>
      </c>
      <c r="D35" t="s">
        <v>87</v>
      </c>
      <c r="E35" t="s">
        <v>82</v>
      </c>
      <c r="F35">
        <v>12</v>
      </c>
      <c r="G35">
        <v>1500</v>
      </c>
      <c r="H35">
        <f t="shared" si="0"/>
        <v>18000</v>
      </c>
    </row>
    <row r="36" spans="1:8" ht="15.75" customHeight="1" x14ac:dyDescent="0.2">
      <c r="A36" t="s">
        <v>119</v>
      </c>
      <c r="B36" t="s">
        <v>76</v>
      </c>
      <c r="C36" t="s">
        <v>84</v>
      </c>
      <c r="D36" t="s">
        <v>70</v>
      </c>
      <c r="E36" t="s">
        <v>71</v>
      </c>
      <c r="F36">
        <v>3</v>
      </c>
      <c r="G36">
        <v>15000</v>
      </c>
      <c r="H36">
        <f t="shared" si="0"/>
        <v>45000</v>
      </c>
    </row>
    <row r="37" spans="1:8" ht="15.75" customHeight="1" x14ac:dyDescent="0.2">
      <c r="A37" t="s">
        <v>96</v>
      </c>
      <c r="B37" t="s">
        <v>90</v>
      </c>
      <c r="C37" t="s">
        <v>95</v>
      </c>
      <c r="D37" t="s">
        <v>78</v>
      </c>
      <c r="E37" t="s">
        <v>71</v>
      </c>
      <c r="F37">
        <v>3</v>
      </c>
      <c r="G37">
        <v>30000</v>
      </c>
      <c r="H37">
        <f t="shared" si="0"/>
        <v>90000</v>
      </c>
    </row>
    <row r="38" spans="1:8" ht="15.75" customHeight="1" x14ac:dyDescent="0.2">
      <c r="A38" t="s">
        <v>120</v>
      </c>
      <c r="B38" t="s">
        <v>68</v>
      </c>
      <c r="C38" t="s">
        <v>73</v>
      </c>
      <c r="D38" t="s">
        <v>70</v>
      </c>
      <c r="E38" t="s">
        <v>71</v>
      </c>
      <c r="F38">
        <v>10</v>
      </c>
      <c r="G38">
        <v>15000</v>
      </c>
      <c r="H38">
        <f t="shared" si="0"/>
        <v>150000</v>
      </c>
    </row>
    <row r="39" spans="1:8" ht="15.75" customHeight="1" x14ac:dyDescent="0.2">
      <c r="A39" t="s">
        <v>121</v>
      </c>
      <c r="B39" t="s">
        <v>105</v>
      </c>
      <c r="C39" t="s">
        <v>69</v>
      </c>
      <c r="D39" t="s">
        <v>78</v>
      </c>
      <c r="E39" t="s">
        <v>71</v>
      </c>
      <c r="F39">
        <v>7</v>
      </c>
      <c r="G39">
        <v>30000</v>
      </c>
      <c r="H39">
        <f t="shared" si="0"/>
        <v>210000</v>
      </c>
    </row>
    <row r="40" spans="1:8" ht="15.75" customHeight="1" x14ac:dyDescent="0.2">
      <c r="A40" t="s">
        <v>121</v>
      </c>
      <c r="B40" t="s">
        <v>90</v>
      </c>
      <c r="C40" t="s">
        <v>77</v>
      </c>
      <c r="D40" t="s">
        <v>87</v>
      </c>
      <c r="E40" t="s">
        <v>82</v>
      </c>
      <c r="F40">
        <v>3</v>
      </c>
      <c r="G40">
        <v>1500</v>
      </c>
      <c r="H40">
        <f t="shared" si="0"/>
        <v>4500</v>
      </c>
    </row>
    <row r="41" spans="1:8" ht="15.75" customHeight="1" x14ac:dyDescent="0.2">
      <c r="A41" t="s">
        <v>122</v>
      </c>
      <c r="B41" t="s">
        <v>90</v>
      </c>
      <c r="C41" t="s">
        <v>69</v>
      </c>
      <c r="D41" t="s">
        <v>87</v>
      </c>
      <c r="E41" t="s">
        <v>82</v>
      </c>
      <c r="F41">
        <v>5</v>
      </c>
      <c r="G41">
        <v>1500</v>
      </c>
      <c r="H41">
        <f t="shared" si="0"/>
        <v>7500</v>
      </c>
    </row>
    <row r="42" spans="1:8" ht="15.75" customHeight="1" x14ac:dyDescent="0.2">
      <c r="A42" t="s">
        <v>123</v>
      </c>
      <c r="B42" t="s">
        <v>68</v>
      </c>
      <c r="C42" t="s">
        <v>95</v>
      </c>
      <c r="D42" t="s">
        <v>70</v>
      </c>
      <c r="E42" t="s">
        <v>71</v>
      </c>
      <c r="F42">
        <v>5</v>
      </c>
      <c r="G42">
        <v>15000</v>
      </c>
      <c r="H42">
        <f t="shared" si="0"/>
        <v>75000</v>
      </c>
    </row>
    <row r="43" spans="1:8" ht="15.75" customHeight="1" x14ac:dyDescent="0.2">
      <c r="A43" t="s">
        <v>124</v>
      </c>
      <c r="B43" t="s">
        <v>76</v>
      </c>
      <c r="C43" t="s">
        <v>95</v>
      </c>
      <c r="D43" t="s">
        <v>70</v>
      </c>
      <c r="E43" t="s">
        <v>71</v>
      </c>
      <c r="F43">
        <v>4</v>
      </c>
      <c r="G43">
        <v>15000</v>
      </c>
      <c r="H43">
        <f t="shared" si="0"/>
        <v>60000</v>
      </c>
    </row>
    <row r="44" spans="1:8" ht="15.75" customHeight="1" x14ac:dyDescent="0.2">
      <c r="A44" t="s">
        <v>125</v>
      </c>
      <c r="B44" t="s">
        <v>68</v>
      </c>
      <c r="C44" t="s">
        <v>73</v>
      </c>
      <c r="D44" t="s">
        <v>81</v>
      </c>
      <c r="E44" t="s">
        <v>82</v>
      </c>
      <c r="F44">
        <v>7</v>
      </c>
      <c r="G44">
        <v>800</v>
      </c>
      <c r="H44">
        <f t="shared" si="0"/>
        <v>5600</v>
      </c>
    </row>
    <row r="45" spans="1:8" ht="15.75" customHeight="1" x14ac:dyDescent="0.2">
      <c r="A45" t="s">
        <v>126</v>
      </c>
      <c r="B45" t="s">
        <v>76</v>
      </c>
      <c r="C45" t="s">
        <v>95</v>
      </c>
      <c r="D45" t="s">
        <v>81</v>
      </c>
      <c r="E45" t="s">
        <v>82</v>
      </c>
      <c r="F45">
        <v>6</v>
      </c>
      <c r="G45">
        <v>800</v>
      </c>
      <c r="H45">
        <f t="shared" si="0"/>
        <v>4800</v>
      </c>
    </row>
    <row r="46" spans="1:8" ht="15.75" customHeight="1" x14ac:dyDescent="0.2">
      <c r="A46" t="s">
        <v>127</v>
      </c>
      <c r="B46" t="s">
        <v>105</v>
      </c>
      <c r="C46" t="s">
        <v>84</v>
      </c>
      <c r="D46" t="s">
        <v>92</v>
      </c>
      <c r="E46" t="s">
        <v>71</v>
      </c>
      <c r="F46">
        <v>13</v>
      </c>
      <c r="G46">
        <v>60000</v>
      </c>
      <c r="H46">
        <f t="shared" si="0"/>
        <v>780000</v>
      </c>
    </row>
    <row r="47" spans="1:8" ht="15.75" customHeight="1" x14ac:dyDescent="0.2">
      <c r="A47" t="s">
        <v>128</v>
      </c>
      <c r="B47" t="s">
        <v>90</v>
      </c>
      <c r="C47" t="s">
        <v>73</v>
      </c>
      <c r="D47" t="s">
        <v>70</v>
      </c>
      <c r="E47" t="s">
        <v>71</v>
      </c>
      <c r="F47">
        <v>3</v>
      </c>
      <c r="G47">
        <v>15000</v>
      </c>
      <c r="H47">
        <f t="shared" si="0"/>
        <v>45000</v>
      </c>
    </row>
    <row r="48" spans="1:8" ht="15.75" customHeight="1" x14ac:dyDescent="0.2">
      <c r="A48" t="s">
        <v>129</v>
      </c>
      <c r="B48" t="s">
        <v>76</v>
      </c>
      <c r="C48" t="s">
        <v>84</v>
      </c>
      <c r="D48" t="s">
        <v>78</v>
      </c>
      <c r="E48" t="s">
        <v>71</v>
      </c>
      <c r="F48">
        <v>5</v>
      </c>
      <c r="G48">
        <v>30000</v>
      </c>
      <c r="H48">
        <f t="shared" si="0"/>
        <v>150000</v>
      </c>
    </row>
    <row r="49" spans="1:8" ht="15.75" customHeight="1" x14ac:dyDescent="0.2">
      <c r="A49" t="s">
        <v>130</v>
      </c>
      <c r="B49" t="s">
        <v>105</v>
      </c>
      <c r="C49" t="s">
        <v>95</v>
      </c>
      <c r="D49" t="s">
        <v>85</v>
      </c>
      <c r="E49" t="s">
        <v>82</v>
      </c>
      <c r="F49">
        <v>8</v>
      </c>
      <c r="G49">
        <v>2000</v>
      </c>
      <c r="H49">
        <f t="shared" si="0"/>
        <v>16000</v>
      </c>
    </row>
    <row r="50" spans="1:8" ht="15.75" customHeight="1" x14ac:dyDescent="0.2">
      <c r="A50" t="s">
        <v>115</v>
      </c>
      <c r="B50" t="s">
        <v>76</v>
      </c>
      <c r="C50" t="s">
        <v>73</v>
      </c>
      <c r="D50" t="s">
        <v>87</v>
      </c>
      <c r="E50" t="s">
        <v>82</v>
      </c>
      <c r="F50">
        <v>1</v>
      </c>
      <c r="G50">
        <v>1500</v>
      </c>
      <c r="H50">
        <f t="shared" si="0"/>
        <v>1500</v>
      </c>
    </row>
    <row r="51" spans="1:8" ht="15.75" customHeight="1" x14ac:dyDescent="0.2">
      <c r="A51" t="s">
        <v>131</v>
      </c>
      <c r="B51" t="s">
        <v>76</v>
      </c>
      <c r="C51" t="s">
        <v>84</v>
      </c>
      <c r="D51" t="s">
        <v>85</v>
      </c>
      <c r="E51" t="s">
        <v>82</v>
      </c>
      <c r="F51">
        <v>4</v>
      </c>
      <c r="G51">
        <v>2000</v>
      </c>
      <c r="H51">
        <f t="shared" si="0"/>
        <v>8000</v>
      </c>
    </row>
    <row r="52" spans="1:8" ht="15.75" customHeight="1" x14ac:dyDescent="0.2">
      <c r="A52" t="s">
        <v>132</v>
      </c>
      <c r="B52" t="s">
        <v>68</v>
      </c>
      <c r="C52" t="s">
        <v>73</v>
      </c>
      <c r="D52" t="s">
        <v>87</v>
      </c>
      <c r="E52" t="s">
        <v>82</v>
      </c>
      <c r="F52">
        <v>2</v>
      </c>
      <c r="G52">
        <v>1500</v>
      </c>
      <c r="H52">
        <f t="shared" si="0"/>
        <v>3000</v>
      </c>
    </row>
    <row r="53" spans="1:8" ht="15.75" customHeight="1" x14ac:dyDescent="0.2">
      <c r="A53" t="s">
        <v>133</v>
      </c>
      <c r="B53" t="s">
        <v>90</v>
      </c>
      <c r="C53" t="s">
        <v>84</v>
      </c>
      <c r="D53" t="s">
        <v>70</v>
      </c>
      <c r="E53" t="s">
        <v>71</v>
      </c>
      <c r="F53">
        <v>14</v>
      </c>
      <c r="G53">
        <v>15000</v>
      </c>
      <c r="H53">
        <f t="shared" si="0"/>
        <v>210000</v>
      </c>
    </row>
    <row r="54" spans="1:8" ht="15.75" customHeight="1" x14ac:dyDescent="0.2">
      <c r="A54" t="s">
        <v>134</v>
      </c>
      <c r="B54" t="s">
        <v>68</v>
      </c>
      <c r="C54" t="s">
        <v>69</v>
      </c>
      <c r="D54" t="s">
        <v>70</v>
      </c>
      <c r="E54" t="s">
        <v>71</v>
      </c>
      <c r="F54">
        <v>1</v>
      </c>
      <c r="G54">
        <v>15000</v>
      </c>
      <c r="H54">
        <f t="shared" si="0"/>
        <v>15000</v>
      </c>
    </row>
    <row r="55" spans="1:8" ht="15.75" customHeight="1" x14ac:dyDescent="0.2">
      <c r="A55" t="s">
        <v>135</v>
      </c>
      <c r="B55" t="s">
        <v>105</v>
      </c>
      <c r="C55" t="s">
        <v>69</v>
      </c>
      <c r="D55" t="s">
        <v>87</v>
      </c>
      <c r="E55" t="s">
        <v>82</v>
      </c>
      <c r="F55">
        <v>5</v>
      </c>
      <c r="G55">
        <v>1500</v>
      </c>
      <c r="H55">
        <f t="shared" si="0"/>
        <v>7500</v>
      </c>
    </row>
    <row r="56" spans="1:8" ht="15.75" customHeight="1" x14ac:dyDescent="0.2">
      <c r="A56" t="s">
        <v>136</v>
      </c>
      <c r="B56" t="s">
        <v>68</v>
      </c>
      <c r="C56" t="s">
        <v>77</v>
      </c>
      <c r="D56" t="s">
        <v>70</v>
      </c>
      <c r="E56" t="s">
        <v>71</v>
      </c>
      <c r="F56">
        <v>4</v>
      </c>
      <c r="G56">
        <v>15000</v>
      </c>
      <c r="H56">
        <f t="shared" si="0"/>
        <v>60000</v>
      </c>
    </row>
    <row r="57" spans="1:8" ht="15.75" customHeight="1" x14ac:dyDescent="0.2">
      <c r="A57" t="s">
        <v>120</v>
      </c>
      <c r="B57" t="s">
        <v>76</v>
      </c>
      <c r="C57" t="s">
        <v>69</v>
      </c>
      <c r="D57" t="s">
        <v>81</v>
      </c>
      <c r="E57" t="s">
        <v>82</v>
      </c>
      <c r="F57">
        <v>5</v>
      </c>
      <c r="G57">
        <v>800</v>
      </c>
      <c r="H57">
        <f t="shared" si="0"/>
        <v>4000</v>
      </c>
    </row>
    <row r="58" spans="1:8" ht="15.75" customHeight="1" x14ac:dyDescent="0.2">
      <c r="A58" t="s">
        <v>137</v>
      </c>
      <c r="B58" t="s">
        <v>90</v>
      </c>
      <c r="C58" t="s">
        <v>73</v>
      </c>
      <c r="D58" t="s">
        <v>78</v>
      </c>
      <c r="E58" t="s">
        <v>71</v>
      </c>
      <c r="F58">
        <v>8</v>
      </c>
      <c r="G58">
        <v>30000</v>
      </c>
      <c r="H58">
        <f t="shared" si="0"/>
        <v>240000</v>
      </c>
    </row>
    <row r="59" spans="1:8" ht="15.75" customHeight="1" x14ac:dyDescent="0.2">
      <c r="A59" t="s">
        <v>138</v>
      </c>
      <c r="B59" t="s">
        <v>105</v>
      </c>
      <c r="C59" t="s">
        <v>84</v>
      </c>
      <c r="D59" t="s">
        <v>92</v>
      </c>
      <c r="E59" t="s">
        <v>71</v>
      </c>
      <c r="F59">
        <v>13</v>
      </c>
      <c r="G59">
        <v>60000</v>
      </c>
      <c r="H59">
        <f t="shared" si="0"/>
        <v>780000</v>
      </c>
    </row>
    <row r="60" spans="1:8" ht="15.75" customHeight="1" x14ac:dyDescent="0.2">
      <c r="A60" t="s">
        <v>139</v>
      </c>
      <c r="B60" t="s">
        <v>105</v>
      </c>
      <c r="C60" t="s">
        <v>84</v>
      </c>
      <c r="D60" t="s">
        <v>74</v>
      </c>
      <c r="E60" t="s">
        <v>71</v>
      </c>
      <c r="F60">
        <v>4</v>
      </c>
      <c r="G60">
        <v>20000</v>
      </c>
      <c r="H60">
        <f t="shared" si="0"/>
        <v>80000</v>
      </c>
    </row>
    <row r="61" spans="1:8" ht="15.75" customHeight="1" x14ac:dyDescent="0.2">
      <c r="A61" t="s">
        <v>140</v>
      </c>
      <c r="B61" t="s">
        <v>105</v>
      </c>
      <c r="C61" t="s">
        <v>69</v>
      </c>
      <c r="D61" t="s">
        <v>85</v>
      </c>
      <c r="E61" t="s">
        <v>82</v>
      </c>
      <c r="F61">
        <v>12</v>
      </c>
      <c r="G61">
        <v>2000</v>
      </c>
      <c r="H61">
        <f t="shared" si="0"/>
        <v>24000</v>
      </c>
    </row>
    <row r="62" spans="1:8" ht="15.75" customHeight="1" x14ac:dyDescent="0.2">
      <c r="A62" t="s">
        <v>108</v>
      </c>
      <c r="B62" t="s">
        <v>68</v>
      </c>
      <c r="C62" t="s">
        <v>80</v>
      </c>
      <c r="D62" t="s">
        <v>92</v>
      </c>
      <c r="E62" t="s">
        <v>71</v>
      </c>
      <c r="F62">
        <v>5</v>
      </c>
      <c r="G62">
        <v>60000</v>
      </c>
      <c r="H62">
        <f t="shared" si="0"/>
        <v>300000</v>
      </c>
    </row>
    <row r="63" spans="1:8" ht="15.75" customHeight="1" x14ac:dyDescent="0.2">
      <c r="A63" t="s">
        <v>141</v>
      </c>
      <c r="B63" t="s">
        <v>76</v>
      </c>
      <c r="C63" t="s">
        <v>95</v>
      </c>
      <c r="D63" t="s">
        <v>92</v>
      </c>
      <c r="E63" t="s">
        <v>71</v>
      </c>
      <c r="F63">
        <v>11</v>
      </c>
      <c r="G63">
        <v>60000</v>
      </c>
      <c r="H63">
        <f t="shared" si="0"/>
        <v>660000</v>
      </c>
    </row>
    <row r="64" spans="1:8" ht="15.75" customHeight="1" x14ac:dyDescent="0.2">
      <c r="A64" t="s">
        <v>142</v>
      </c>
      <c r="B64" t="s">
        <v>76</v>
      </c>
      <c r="C64" t="s">
        <v>84</v>
      </c>
      <c r="D64" t="s">
        <v>85</v>
      </c>
      <c r="E64" t="s">
        <v>82</v>
      </c>
      <c r="F64">
        <v>7</v>
      </c>
      <c r="G64">
        <v>2000</v>
      </c>
      <c r="H64">
        <f t="shared" si="0"/>
        <v>14000</v>
      </c>
    </row>
    <row r="65" spans="1:8" ht="15.75" customHeight="1" x14ac:dyDescent="0.2">
      <c r="A65" t="s">
        <v>130</v>
      </c>
      <c r="B65" t="s">
        <v>90</v>
      </c>
      <c r="C65" t="s">
        <v>69</v>
      </c>
      <c r="D65" t="s">
        <v>78</v>
      </c>
      <c r="E65" t="s">
        <v>71</v>
      </c>
      <c r="F65">
        <v>6</v>
      </c>
      <c r="G65">
        <v>30000</v>
      </c>
      <c r="H65">
        <f t="shared" si="0"/>
        <v>180000</v>
      </c>
    </row>
    <row r="66" spans="1:8" ht="15.75" customHeight="1" x14ac:dyDescent="0.2">
      <c r="A66" t="s">
        <v>123</v>
      </c>
      <c r="B66" t="s">
        <v>90</v>
      </c>
      <c r="C66" t="s">
        <v>84</v>
      </c>
      <c r="D66" t="s">
        <v>78</v>
      </c>
      <c r="E66" t="s">
        <v>71</v>
      </c>
      <c r="F66">
        <v>14</v>
      </c>
      <c r="G66">
        <v>30000</v>
      </c>
      <c r="H66">
        <f t="shared" si="0"/>
        <v>420000</v>
      </c>
    </row>
    <row r="67" spans="1:8" ht="15.75" customHeight="1" x14ac:dyDescent="0.2">
      <c r="A67" t="s">
        <v>100</v>
      </c>
      <c r="B67" t="s">
        <v>76</v>
      </c>
      <c r="C67" t="s">
        <v>77</v>
      </c>
      <c r="D67" t="s">
        <v>85</v>
      </c>
      <c r="E67" t="s">
        <v>82</v>
      </c>
      <c r="F67">
        <v>9</v>
      </c>
      <c r="G67">
        <v>2000</v>
      </c>
      <c r="H67">
        <f t="shared" si="0"/>
        <v>18000</v>
      </c>
    </row>
    <row r="68" spans="1:8" ht="15.75" customHeight="1" x14ac:dyDescent="0.2">
      <c r="A68" t="s">
        <v>100</v>
      </c>
      <c r="B68" t="s">
        <v>105</v>
      </c>
      <c r="C68" t="s">
        <v>73</v>
      </c>
      <c r="D68" t="s">
        <v>81</v>
      </c>
      <c r="E68" t="s">
        <v>82</v>
      </c>
      <c r="F68">
        <v>15</v>
      </c>
      <c r="G68">
        <v>800</v>
      </c>
      <c r="H68">
        <f t="shared" si="0"/>
        <v>12000</v>
      </c>
    </row>
    <row r="69" spans="1:8" ht="15.75" customHeight="1" x14ac:dyDescent="0.2">
      <c r="A69" t="s">
        <v>88</v>
      </c>
      <c r="B69" t="s">
        <v>76</v>
      </c>
      <c r="C69" t="s">
        <v>73</v>
      </c>
      <c r="D69" t="s">
        <v>92</v>
      </c>
      <c r="E69" t="s">
        <v>71</v>
      </c>
      <c r="F69">
        <v>9</v>
      </c>
      <c r="G69">
        <v>60000</v>
      </c>
      <c r="H69">
        <f t="shared" si="0"/>
        <v>540000</v>
      </c>
    </row>
    <row r="70" spans="1:8" ht="15.75" customHeight="1" x14ac:dyDescent="0.2">
      <c r="A70" t="s">
        <v>113</v>
      </c>
      <c r="B70" t="s">
        <v>90</v>
      </c>
      <c r="C70" t="s">
        <v>80</v>
      </c>
      <c r="D70" t="s">
        <v>87</v>
      </c>
      <c r="E70" t="s">
        <v>82</v>
      </c>
      <c r="F70">
        <v>7</v>
      </c>
      <c r="G70">
        <v>1500</v>
      </c>
      <c r="H70">
        <f t="shared" si="0"/>
        <v>10500</v>
      </c>
    </row>
    <row r="71" spans="1:8" ht="15.75" customHeight="1" x14ac:dyDescent="0.2">
      <c r="A71" t="s">
        <v>143</v>
      </c>
      <c r="B71" t="s">
        <v>105</v>
      </c>
      <c r="C71" t="s">
        <v>95</v>
      </c>
      <c r="D71" t="s">
        <v>81</v>
      </c>
      <c r="E71" t="s">
        <v>82</v>
      </c>
      <c r="F71">
        <v>5</v>
      </c>
      <c r="G71">
        <v>800</v>
      </c>
      <c r="H71">
        <f t="shared" si="0"/>
        <v>4000</v>
      </c>
    </row>
    <row r="72" spans="1:8" ht="15.75" customHeight="1" x14ac:dyDescent="0.2">
      <c r="A72" t="s">
        <v>144</v>
      </c>
      <c r="B72" t="s">
        <v>68</v>
      </c>
      <c r="C72" t="s">
        <v>80</v>
      </c>
      <c r="D72" t="s">
        <v>92</v>
      </c>
      <c r="E72" t="s">
        <v>71</v>
      </c>
      <c r="F72">
        <v>14</v>
      </c>
      <c r="G72">
        <v>60000</v>
      </c>
      <c r="H72">
        <f t="shared" si="0"/>
        <v>840000</v>
      </c>
    </row>
    <row r="73" spans="1:8" ht="15.75" customHeight="1" x14ac:dyDescent="0.2">
      <c r="A73" t="s">
        <v>67</v>
      </c>
      <c r="B73" t="s">
        <v>76</v>
      </c>
      <c r="C73" t="s">
        <v>73</v>
      </c>
      <c r="D73" t="s">
        <v>70</v>
      </c>
      <c r="E73" t="s">
        <v>71</v>
      </c>
      <c r="F73">
        <v>3</v>
      </c>
      <c r="G73">
        <v>15000</v>
      </c>
      <c r="H73">
        <f t="shared" si="0"/>
        <v>45000</v>
      </c>
    </row>
    <row r="74" spans="1:8" ht="15.75" customHeight="1" x14ac:dyDescent="0.2">
      <c r="A74" t="s">
        <v>145</v>
      </c>
      <c r="B74" t="s">
        <v>105</v>
      </c>
      <c r="C74" t="s">
        <v>73</v>
      </c>
      <c r="D74" t="s">
        <v>74</v>
      </c>
      <c r="E74" t="s">
        <v>71</v>
      </c>
      <c r="F74">
        <v>15</v>
      </c>
      <c r="G74">
        <v>20000</v>
      </c>
      <c r="H74">
        <f t="shared" si="0"/>
        <v>300000</v>
      </c>
    </row>
    <row r="75" spans="1:8" ht="15.75" customHeight="1" x14ac:dyDescent="0.2">
      <c r="A75" t="s">
        <v>146</v>
      </c>
      <c r="B75" t="s">
        <v>90</v>
      </c>
      <c r="C75" t="s">
        <v>73</v>
      </c>
      <c r="D75" t="s">
        <v>78</v>
      </c>
      <c r="E75" t="s">
        <v>71</v>
      </c>
      <c r="F75">
        <v>15</v>
      </c>
      <c r="G75">
        <v>30000</v>
      </c>
      <c r="H75">
        <f t="shared" si="0"/>
        <v>450000</v>
      </c>
    </row>
    <row r="76" spans="1:8" ht="15.75" customHeight="1" x14ac:dyDescent="0.2">
      <c r="A76" t="s">
        <v>117</v>
      </c>
      <c r="B76" t="s">
        <v>68</v>
      </c>
      <c r="C76" t="s">
        <v>77</v>
      </c>
      <c r="D76" t="s">
        <v>74</v>
      </c>
      <c r="E76" t="s">
        <v>71</v>
      </c>
      <c r="F76">
        <v>7</v>
      </c>
      <c r="G76">
        <v>20000</v>
      </c>
      <c r="H76">
        <f t="shared" si="0"/>
        <v>140000</v>
      </c>
    </row>
    <row r="77" spans="1:8" ht="15.75" customHeight="1" x14ac:dyDescent="0.2">
      <c r="A77" t="s">
        <v>147</v>
      </c>
      <c r="B77" t="s">
        <v>105</v>
      </c>
      <c r="C77" t="s">
        <v>95</v>
      </c>
      <c r="D77" t="s">
        <v>87</v>
      </c>
      <c r="E77" t="s">
        <v>82</v>
      </c>
      <c r="F77">
        <v>13</v>
      </c>
      <c r="G77">
        <v>1500</v>
      </c>
      <c r="H77">
        <f t="shared" si="0"/>
        <v>19500</v>
      </c>
    </row>
    <row r="78" spans="1:8" ht="15.75" customHeight="1" x14ac:dyDescent="0.2">
      <c r="A78" t="s">
        <v>148</v>
      </c>
      <c r="B78" t="s">
        <v>105</v>
      </c>
      <c r="C78" t="s">
        <v>73</v>
      </c>
      <c r="D78" t="s">
        <v>74</v>
      </c>
      <c r="E78" t="s">
        <v>71</v>
      </c>
      <c r="F78">
        <v>7</v>
      </c>
      <c r="G78">
        <v>20000</v>
      </c>
      <c r="H78">
        <f t="shared" si="0"/>
        <v>140000</v>
      </c>
    </row>
    <row r="79" spans="1:8" ht="15.75" customHeight="1" x14ac:dyDescent="0.2">
      <c r="A79" t="s">
        <v>110</v>
      </c>
      <c r="B79" t="s">
        <v>90</v>
      </c>
      <c r="C79" t="s">
        <v>95</v>
      </c>
      <c r="D79" t="s">
        <v>81</v>
      </c>
      <c r="E79" t="s">
        <v>82</v>
      </c>
      <c r="F79">
        <v>15</v>
      </c>
      <c r="G79">
        <v>800</v>
      </c>
      <c r="H79">
        <f t="shared" si="0"/>
        <v>12000</v>
      </c>
    </row>
    <row r="80" spans="1:8" ht="15.75" customHeight="1" x14ac:dyDescent="0.2">
      <c r="A80" t="s">
        <v>132</v>
      </c>
      <c r="B80" t="s">
        <v>105</v>
      </c>
      <c r="C80" t="s">
        <v>84</v>
      </c>
      <c r="D80" t="s">
        <v>70</v>
      </c>
      <c r="E80" t="s">
        <v>71</v>
      </c>
      <c r="F80">
        <v>8</v>
      </c>
      <c r="G80">
        <v>15000</v>
      </c>
      <c r="H80">
        <f t="shared" si="0"/>
        <v>120000</v>
      </c>
    </row>
    <row r="81" spans="1:8" ht="15.75" customHeight="1" x14ac:dyDescent="0.2">
      <c r="A81" t="s">
        <v>149</v>
      </c>
      <c r="B81" t="s">
        <v>90</v>
      </c>
      <c r="C81" t="s">
        <v>95</v>
      </c>
      <c r="D81" t="s">
        <v>87</v>
      </c>
      <c r="E81" t="s">
        <v>82</v>
      </c>
      <c r="F81">
        <v>13</v>
      </c>
      <c r="G81">
        <v>1500</v>
      </c>
      <c r="H81">
        <f t="shared" si="0"/>
        <v>19500</v>
      </c>
    </row>
    <row r="82" spans="1:8" ht="15.75" customHeight="1" x14ac:dyDescent="0.2">
      <c r="A82" t="s">
        <v>150</v>
      </c>
      <c r="B82" t="s">
        <v>68</v>
      </c>
      <c r="C82" t="s">
        <v>69</v>
      </c>
      <c r="D82" t="s">
        <v>81</v>
      </c>
      <c r="E82" t="s">
        <v>82</v>
      </c>
      <c r="F82">
        <v>5</v>
      </c>
      <c r="G82">
        <v>800</v>
      </c>
      <c r="H82">
        <f t="shared" si="0"/>
        <v>4000</v>
      </c>
    </row>
    <row r="83" spans="1:8" ht="15.75" customHeight="1" x14ac:dyDescent="0.2">
      <c r="A83" t="s">
        <v>151</v>
      </c>
      <c r="B83" t="s">
        <v>68</v>
      </c>
      <c r="C83" t="s">
        <v>80</v>
      </c>
      <c r="D83" t="s">
        <v>85</v>
      </c>
      <c r="E83" t="s">
        <v>82</v>
      </c>
      <c r="F83">
        <v>7</v>
      </c>
      <c r="G83">
        <v>2000</v>
      </c>
      <c r="H83">
        <f t="shared" si="0"/>
        <v>14000</v>
      </c>
    </row>
    <row r="84" spans="1:8" ht="15.75" customHeight="1" x14ac:dyDescent="0.2">
      <c r="A84" t="s">
        <v>152</v>
      </c>
      <c r="B84" t="s">
        <v>90</v>
      </c>
      <c r="C84" t="s">
        <v>77</v>
      </c>
      <c r="D84" t="s">
        <v>70</v>
      </c>
      <c r="E84" t="s">
        <v>71</v>
      </c>
      <c r="F84">
        <v>7</v>
      </c>
      <c r="G84">
        <v>15000</v>
      </c>
      <c r="H84">
        <f t="shared" si="0"/>
        <v>105000</v>
      </c>
    </row>
    <row r="85" spans="1:8" ht="15.75" customHeight="1" x14ac:dyDescent="0.2">
      <c r="A85" t="s">
        <v>143</v>
      </c>
      <c r="B85" t="s">
        <v>105</v>
      </c>
      <c r="C85" t="s">
        <v>73</v>
      </c>
      <c r="D85" t="s">
        <v>78</v>
      </c>
      <c r="E85" t="s">
        <v>71</v>
      </c>
      <c r="F85">
        <v>5</v>
      </c>
      <c r="G85">
        <v>30000</v>
      </c>
      <c r="H85">
        <f t="shared" si="0"/>
        <v>150000</v>
      </c>
    </row>
    <row r="86" spans="1:8" ht="15.75" customHeight="1" x14ac:dyDescent="0.2">
      <c r="A86" t="s">
        <v>153</v>
      </c>
      <c r="B86" t="s">
        <v>68</v>
      </c>
      <c r="C86" t="s">
        <v>95</v>
      </c>
      <c r="D86" t="s">
        <v>92</v>
      </c>
      <c r="E86" t="s">
        <v>71</v>
      </c>
      <c r="F86">
        <v>3</v>
      </c>
      <c r="G86">
        <v>60000</v>
      </c>
      <c r="H86">
        <f t="shared" si="0"/>
        <v>180000</v>
      </c>
    </row>
    <row r="87" spans="1:8" ht="15.75" customHeight="1" x14ac:dyDescent="0.2">
      <c r="A87" t="s">
        <v>154</v>
      </c>
      <c r="B87" t="s">
        <v>90</v>
      </c>
      <c r="C87" t="s">
        <v>95</v>
      </c>
      <c r="D87" t="s">
        <v>78</v>
      </c>
      <c r="E87" t="s">
        <v>71</v>
      </c>
      <c r="F87">
        <v>7</v>
      </c>
      <c r="G87">
        <v>30000</v>
      </c>
      <c r="H87">
        <f t="shared" si="0"/>
        <v>210000</v>
      </c>
    </row>
    <row r="88" spans="1:8" ht="15.75" customHeight="1" x14ac:dyDescent="0.2">
      <c r="A88" t="s">
        <v>97</v>
      </c>
      <c r="B88" t="s">
        <v>76</v>
      </c>
      <c r="C88" t="s">
        <v>77</v>
      </c>
      <c r="D88" t="s">
        <v>92</v>
      </c>
      <c r="E88" t="s">
        <v>71</v>
      </c>
      <c r="F88">
        <v>2</v>
      </c>
      <c r="G88">
        <v>60000</v>
      </c>
      <c r="H88">
        <f t="shared" si="0"/>
        <v>120000</v>
      </c>
    </row>
    <row r="89" spans="1:8" ht="15.75" customHeight="1" x14ac:dyDescent="0.2">
      <c r="A89" t="s">
        <v>155</v>
      </c>
      <c r="B89" t="s">
        <v>105</v>
      </c>
      <c r="C89" t="s">
        <v>84</v>
      </c>
      <c r="D89" t="s">
        <v>92</v>
      </c>
      <c r="E89" t="s">
        <v>71</v>
      </c>
      <c r="F89">
        <v>14</v>
      </c>
      <c r="G89">
        <v>60000</v>
      </c>
      <c r="H89">
        <f t="shared" si="0"/>
        <v>840000</v>
      </c>
    </row>
    <row r="90" spans="1:8" ht="15.75" customHeight="1" x14ac:dyDescent="0.2">
      <c r="A90" t="s">
        <v>156</v>
      </c>
      <c r="B90" t="s">
        <v>76</v>
      </c>
      <c r="C90" t="s">
        <v>80</v>
      </c>
      <c r="D90" t="s">
        <v>85</v>
      </c>
      <c r="E90" t="s">
        <v>82</v>
      </c>
      <c r="F90">
        <v>4</v>
      </c>
      <c r="G90">
        <v>2000</v>
      </c>
      <c r="H90">
        <f t="shared" si="0"/>
        <v>8000</v>
      </c>
    </row>
    <row r="91" spans="1:8" ht="15.75" customHeight="1" x14ac:dyDescent="0.2">
      <c r="A91" t="s">
        <v>157</v>
      </c>
      <c r="B91" t="s">
        <v>105</v>
      </c>
      <c r="C91" t="s">
        <v>77</v>
      </c>
      <c r="D91" t="s">
        <v>78</v>
      </c>
      <c r="E91" t="s">
        <v>71</v>
      </c>
      <c r="F91">
        <v>13</v>
      </c>
      <c r="G91">
        <v>30000</v>
      </c>
      <c r="H91">
        <f t="shared" si="0"/>
        <v>390000</v>
      </c>
    </row>
    <row r="92" spans="1:8" ht="15.75" customHeight="1" x14ac:dyDescent="0.2">
      <c r="A92" t="s">
        <v>99</v>
      </c>
      <c r="B92" t="s">
        <v>90</v>
      </c>
      <c r="C92" t="s">
        <v>95</v>
      </c>
      <c r="D92" t="s">
        <v>74</v>
      </c>
      <c r="E92" t="s">
        <v>71</v>
      </c>
      <c r="F92">
        <v>8</v>
      </c>
      <c r="G92">
        <v>20000</v>
      </c>
      <c r="H92">
        <f t="shared" si="0"/>
        <v>160000</v>
      </c>
    </row>
    <row r="93" spans="1:8" ht="15.75" customHeight="1" x14ac:dyDescent="0.2">
      <c r="A93" t="s">
        <v>158</v>
      </c>
      <c r="B93" t="s">
        <v>68</v>
      </c>
      <c r="C93" t="s">
        <v>69</v>
      </c>
      <c r="D93" t="s">
        <v>78</v>
      </c>
      <c r="E93" t="s">
        <v>71</v>
      </c>
      <c r="F93">
        <v>10</v>
      </c>
      <c r="G93">
        <v>30000</v>
      </c>
      <c r="H93">
        <f t="shared" si="0"/>
        <v>300000</v>
      </c>
    </row>
    <row r="94" spans="1:8" ht="15.75" customHeight="1" x14ac:dyDescent="0.2">
      <c r="A94" t="s">
        <v>97</v>
      </c>
      <c r="B94" t="s">
        <v>76</v>
      </c>
      <c r="C94" t="s">
        <v>84</v>
      </c>
      <c r="D94" t="s">
        <v>81</v>
      </c>
      <c r="E94" t="s">
        <v>82</v>
      </c>
      <c r="F94">
        <v>15</v>
      </c>
      <c r="G94">
        <v>800</v>
      </c>
      <c r="H94">
        <f t="shared" si="0"/>
        <v>12000</v>
      </c>
    </row>
    <row r="95" spans="1:8" ht="15.75" customHeight="1" x14ac:dyDescent="0.2">
      <c r="A95" t="s">
        <v>159</v>
      </c>
      <c r="B95" t="s">
        <v>105</v>
      </c>
      <c r="C95" t="s">
        <v>73</v>
      </c>
      <c r="D95" t="s">
        <v>70</v>
      </c>
      <c r="E95" t="s">
        <v>71</v>
      </c>
      <c r="F95">
        <v>15</v>
      </c>
      <c r="G95">
        <v>15000</v>
      </c>
      <c r="H95">
        <f t="shared" si="0"/>
        <v>225000</v>
      </c>
    </row>
    <row r="96" spans="1:8" ht="15.75" customHeight="1" x14ac:dyDescent="0.2">
      <c r="A96" t="s">
        <v>160</v>
      </c>
      <c r="B96" t="s">
        <v>76</v>
      </c>
      <c r="C96" t="s">
        <v>73</v>
      </c>
      <c r="D96" t="s">
        <v>81</v>
      </c>
      <c r="E96" t="s">
        <v>82</v>
      </c>
      <c r="F96">
        <v>10</v>
      </c>
      <c r="G96">
        <v>800</v>
      </c>
      <c r="H96">
        <f t="shared" si="0"/>
        <v>8000</v>
      </c>
    </row>
    <row r="97" spans="1:8" ht="15.75" customHeight="1" x14ac:dyDescent="0.2">
      <c r="A97" t="s">
        <v>161</v>
      </c>
      <c r="B97" t="s">
        <v>76</v>
      </c>
      <c r="C97" t="s">
        <v>84</v>
      </c>
      <c r="D97" t="s">
        <v>92</v>
      </c>
      <c r="E97" t="s">
        <v>71</v>
      </c>
      <c r="F97">
        <v>14</v>
      </c>
      <c r="G97">
        <v>60000</v>
      </c>
      <c r="H97">
        <f t="shared" si="0"/>
        <v>840000</v>
      </c>
    </row>
    <row r="98" spans="1:8" ht="15.75" customHeight="1" x14ac:dyDescent="0.2">
      <c r="A98" t="s">
        <v>162</v>
      </c>
      <c r="B98" t="s">
        <v>68</v>
      </c>
      <c r="C98" t="s">
        <v>77</v>
      </c>
      <c r="D98" t="s">
        <v>81</v>
      </c>
      <c r="E98" t="s">
        <v>82</v>
      </c>
      <c r="F98">
        <v>1</v>
      </c>
      <c r="G98">
        <v>800</v>
      </c>
      <c r="H98">
        <f t="shared" si="0"/>
        <v>800</v>
      </c>
    </row>
    <row r="99" spans="1:8" ht="15.75" customHeight="1" x14ac:dyDescent="0.2">
      <c r="A99" t="s">
        <v>163</v>
      </c>
      <c r="B99" t="s">
        <v>105</v>
      </c>
      <c r="C99" t="s">
        <v>69</v>
      </c>
      <c r="D99" t="s">
        <v>92</v>
      </c>
      <c r="E99" t="s">
        <v>71</v>
      </c>
      <c r="F99">
        <v>3</v>
      </c>
      <c r="G99">
        <v>60000</v>
      </c>
      <c r="H99">
        <f t="shared" si="0"/>
        <v>180000</v>
      </c>
    </row>
    <row r="100" spans="1:8" ht="15.75" customHeight="1" x14ac:dyDescent="0.2">
      <c r="A100" t="s">
        <v>164</v>
      </c>
      <c r="B100" t="s">
        <v>105</v>
      </c>
      <c r="C100" t="s">
        <v>80</v>
      </c>
      <c r="D100" t="s">
        <v>81</v>
      </c>
      <c r="E100" t="s">
        <v>82</v>
      </c>
      <c r="F100">
        <v>5</v>
      </c>
      <c r="G100">
        <v>800</v>
      </c>
      <c r="H100">
        <f t="shared" si="0"/>
        <v>4000</v>
      </c>
    </row>
    <row r="101" spans="1:8" ht="15.75" customHeight="1" x14ac:dyDescent="0.2">
      <c r="A101" t="s">
        <v>165</v>
      </c>
      <c r="B101" t="s">
        <v>68</v>
      </c>
      <c r="C101" t="s">
        <v>73</v>
      </c>
      <c r="D101" t="s">
        <v>70</v>
      </c>
      <c r="E101" t="s">
        <v>71</v>
      </c>
      <c r="F101">
        <v>5</v>
      </c>
      <c r="G101">
        <v>15000</v>
      </c>
      <c r="H101">
        <f t="shared" si="0"/>
        <v>75000</v>
      </c>
    </row>
    <row r="102" spans="1:8" ht="15.75" customHeight="1" x14ac:dyDescent="0.2">
      <c r="A102" t="s">
        <v>166</v>
      </c>
      <c r="B102" t="s">
        <v>90</v>
      </c>
      <c r="C102" t="s">
        <v>80</v>
      </c>
      <c r="D102" t="s">
        <v>81</v>
      </c>
      <c r="E102" t="s">
        <v>82</v>
      </c>
      <c r="F102">
        <v>8</v>
      </c>
      <c r="G102">
        <v>800</v>
      </c>
      <c r="H102">
        <f t="shared" si="0"/>
        <v>6400</v>
      </c>
    </row>
    <row r="103" spans="1:8" ht="15.75" customHeight="1" x14ac:dyDescent="0.2">
      <c r="A103" t="s">
        <v>161</v>
      </c>
      <c r="B103" t="s">
        <v>76</v>
      </c>
      <c r="C103" t="s">
        <v>77</v>
      </c>
      <c r="D103" t="s">
        <v>70</v>
      </c>
      <c r="E103" t="s">
        <v>71</v>
      </c>
      <c r="F103">
        <v>10</v>
      </c>
      <c r="G103">
        <v>15000</v>
      </c>
      <c r="H103">
        <f t="shared" si="0"/>
        <v>150000</v>
      </c>
    </row>
    <row r="104" spans="1:8" ht="15.75" customHeight="1" x14ac:dyDescent="0.2">
      <c r="A104" t="s">
        <v>165</v>
      </c>
      <c r="B104" t="s">
        <v>76</v>
      </c>
      <c r="C104" t="s">
        <v>69</v>
      </c>
      <c r="D104" t="s">
        <v>87</v>
      </c>
      <c r="E104" t="s">
        <v>82</v>
      </c>
      <c r="F104">
        <v>5</v>
      </c>
      <c r="G104">
        <v>1500</v>
      </c>
      <c r="H104">
        <f t="shared" si="0"/>
        <v>7500</v>
      </c>
    </row>
    <row r="105" spans="1:8" ht="15.75" customHeight="1" x14ac:dyDescent="0.2">
      <c r="A105" t="s">
        <v>167</v>
      </c>
      <c r="B105" t="s">
        <v>90</v>
      </c>
      <c r="C105" t="s">
        <v>95</v>
      </c>
      <c r="D105" t="s">
        <v>78</v>
      </c>
      <c r="E105" t="s">
        <v>71</v>
      </c>
      <c r="F105">
        <v>15</v>
      </c>
      <c r="G105">
        <v>30000</v>
      </c>
      <c r="H105">
        <f t="shared" si="0"/>
        <v>450000</v>
      </c>
    </row>
    <row r="106" spans="1:8" ht="15.75" customHeight="1" x14ac:dyDescent="0.2">
      <c r="A106" t="s">
        <v>168</v>
      </c>
      <c r="B106" t="s">
        <v>90</v>
      </c>
      <c r="C106" t="s">
        <v>80</v>
      </c>
      <c r="D106" t="s">
        <v>74</v>
      </c>
      <c r="E106" t="s">
        <v>71</v>
      </c>
      <c r="F106">
        <v>14</v>
      </c>
      <c r="G106">
        <v>20000</v>
      </c>
      <c r="H106">
        <f t="shared" si="0"/>
        <v>280000</v>
      </c>
    </row>
    <row r="107" spans="1:8" ht="15.75" customHeight="1" x14ac:dyDescent="0.2">
      <c r="A107" t="s">
        <v>169</v>
      </c>
      <c r="B107" t="s">
        <v>90</v>
      </c>
      <c r="C107" t="s">
        <v>77</v>
      </c>
      <c r="D107" t="s">
        <v>81</v>
      </c>
      <c r="E107" t="s">
        <v>82</v>
      </c>
      <c r="F107">
        <v>10</v>
      </c>
      <c r="G107">
        <v>800</v>
      </c>
      <c r="H107">
        <f t="shared" si="0"/>
        <v>8000</v>
      </c>
    </row>
    <row r="108" spans="1:8" ht="15.75" customHeight="1" x14ac:dyDescent="0.2">
      <c r="A108" t="s">
        <v>170</v>
      </c>
      <c r="B108" t="s">
        <v>105</v>
      </c>
      <c r="C108" t="s">
        <v>84</v>
      </c>
      <c r="D108" t="s">
        <v>85</v>
      </c>
      <c r="E108" t="s">
        <v>82</v>
      </c>
      <c r="F108">
        <v>2</v>
      </c>
      <c r="G108">
        <v>2000</v>
      </c>
      <c r="H108">
        <f t="shared" si="0"/>
        <v>4000</v>
      </c>
    </row>
    <row r="109" spans="1:8" ht="15.75" customHeight="1" x14ac:dyDescent="0.2">
      <c r="A109" t="s">
        <v>135</v>
      </c>
      <c r="B109" t="s">
        <v>68</v>
      </c>
      <c r="C109" t="s">
        <v>95</v>
      </c>
      <c r="D109" t="s">
        <v>87</v>
      </c>
      <c r="E109" t="s">
        <v>82</v>
      </c>
      <c r="F109">
        <v>7</v>
      </c>
      <c r="G109">
        <v>1500</v>
      </c>
      <c r="H109">
        <f t="shared" si="0"/>
        <v>10500</v>
      </c>
    </row>
    <row r="110" spans="1:8" ht="15.75" customHeight="1" x14ac:dyDescent="0.2">
      <c r="A110" t="s">
        <v>103</v>
      </c>
      <c r="B110" t="s">
        <v>90</v>
      </c>
      <c r="C110" t="s">
        <v>95</v>
      </c>
      <c r="D110" t="s">
        <v>74</v>
      </c>
      <c r="E110" t="s">
        <v>71</v>
      </c>
      <c r="F110">
        <v>5</v>
      </c>
      <c r="G110">
        <v>20000</v>
      </c>
      <c r="H110">
        <f t="shared" si="0"/>
        <v>100000</v>
      </c>
    </row>
    <row r="111" spans="1:8" ht="15.75" customHeight="1" x14ac:dyDescent="0.2">
      <c r="A111" t="s">
        <v>171</v>
      </c>
      <c r="B111" t="s">
        <v>76</v>
      </c>
      <c r="C111" t="s">
        <v>77</v>
      </c>
      <c r="D111" t="s">
        <v>74</v>
      </c>
      <c r="E111" t="s">
        <v>71</v>
      </c>
      <c r="F111">
        <v>5</v>
      </c>
      <c r="G111">
        <v>20000</v>
      </c>
      <c r="H111">
        <f t="shared" si="0"/>
        <v>100000</v>
      </c>
    </row>
    <row r="112" spans="1:8" ht="15.75" customHeight="1" x14ac:dyDescent="0.2">
      <c r="A112" t="s">
        <v>96</v>
      </c>
      <c r="B112" t="s">
        <v>68</v>
      </c>
      <c r="C112" t="s">
        <v>69</v>
      </c>
      <c r="D112" t="s">
        <v>87</v>
      </c>
      <c r="E112" t="s">
        <v>82</v>
      </c>
      <c r="F112">
        <v>15</v>
      </c>
      <c r="G112">
        <v>1500</v>
      </c>
      <c r="H112">
        <f t="shared" si="0"/>
        <v>22500</v>
      </c>
    </row>
    <row r="113" spans="1:8" ht="15.75" customHeight="1" x14ac:dyDescent="0.2">
      <c r="A113" t="s">
        <v>172</v>
      </c>
      <c r="B113" t="s">
        <v>90</v>
      </c>
      <c r="C113" t="s">
        <v>95</v>
      </c>
      <c r="D113" t="s">
        <v>81</v>
      </c>
      <c r="E113" t="s">
        <v>82</v>
      </c>
      <c r="F113">
        <v>6</v>
      </c>
      <c r="G113">
        <v>800</v>
      </c>
      <c r="H113">
        <f t="shared" si="0"/>
        <v>4800</v>
      </c>
    </row>
    <row r="114" spans="1:8" ht="15.75" customHeight="1" x14ac:dyDescent="0.2">
      <c r="A114" t="s">
        <v>173</v>
      </c>
      <c r="B114" t="s">
        <v>76</v>
      </c>
      <c r="C114" t="s">
        <v>95</v>
      </c>
      <c r="D114" t="s">
        <v>78</v>
      </c>
      <c r="E114" t="s">
        <v>71</v>
      </c>
      <c r="F114">
        <v>9</v>
      </c>
      <c r="G114">
        <v>30000</v>
      </c>
      <c r="H114">
        <f t="shared" si="0"/>
        <v>270000</v>
      </c>
    </row>
    <row r="115" spans="1:8" ht="15.75" customHeight="1" x14ac:dyDescent="0.2">
      <c r="A115" t="s">
        <v>153</v>
      </c>
      <c r="B115" t="s">
        <v>76</v>
      </c>
      <c r="C115" t="s">
        <v>95</v>
      </c>
      <c r="D115" t="s">
        <v>70</v>
      </c>
      <c r="E115" t="s">
        <v>71</v>
      </c>
      <c r="F115">
        <v>10</v>
      </c>
      <c r="G115">
        <v>15000</v>
      </c>
      <c r="H115">
        <f t="shared" si="0"/>
        <v>150000</v>
      </c>
    </row>
    <row r="116" spans="1:8" ht="15.75" customHeight="1" x14ac:dyDescent="0.2">
      <c r="A116" t="s">
        <v>127</v>
      </c>
      <c r="B116" t="s">
        <v>76</v>
      </c>
      <c r="C116" t="s">
        <v>84</v>
      </c>
      <c r="D116" t="s">
        <v>92</v>
      </c>
      <c r="E116" t="s">
        <v>71</v>
      </c>
      <c r="F116">
        <v>8</v>
      </c>
      <c r="G116">
        <v>60000</v>
      </c>
      <c r="H116">
        <f t="shared" si="0"/>
        <v>480000</v>
      </c>
    </row>
    <row r="117" spans="1:8" ht="15.75" customHeight="1" x14ac:dyDescent="0.2">
      <c r="A117" t="s">
        <v>174</v>
      </c>
      <c r="B117" t="s">
        <v>105</v>
      </c>
      <c r="C117" t="s">
        <v>84</v>
      </c>
      <c r="D117" t="s">
        <v>85</v>
      </c>
      <c r="E117" t="s">
        <v>82</v>
      </c>
      <c r="F117">
        <v>3</v>
      </c>
      <c r="G117">
        <v>2000</v>
      </c>
      <c r="H117">
        <f t="shared" si="0"/>
        <v>6000</v>
      </c>
    </row>
    <row r="118" spans="1:8" ht="15.75" customHeight="1" x14ac:dyDescent="0.2">
      <c r="A118" t="s">
        <v>175</v>
      </c>
      <c r="B118" t="s">
        <v>105</v>
      </c>
      <c r="C118" t="s">
        <v>84</v>
      </c>
      <c r="D118" t="s">
        <v>85</v>
      </c>
      <c r="E118" t="s">
        <v>82</v>
      </c>
      <c r="F118">
        <v>7</v>
      </c>
      <c r="G118">
        <v>2000</v>
      </c>
      <c r="H118">
        <f t="shared" si="0"/>
        <v>14000</v>
      </c>
    </row>
    <row r="119" spans="1:8" ht="15.75" customHeight="1" x14ac:dyDescent="0.2">
      <c r="A119" t="s">
        <v>176</v>
      </c>
      <c r="B119" t="s">
        <v>90</v>
      </c>
      <c r="C119" t="s">
        <v>73</v>
      </c>
      <c r="D119" t="s">
        <v>92</v>
      </c>
      <c r="E119" t="s">
        <v>71</v>
      </c>
      <c r="F119">
        <v>12</v>
      </c>
      <c r="G119">
        <v>60000</v>
      </c>
      <c r="H119">
        <f t="shared" si="0"/>
        <v>720000</v>
      </c>
    </row>
    <row r="120" spans="1:8" ht="15.75" customHeight="1" x14ac:dyDescent="0.2">
      <c r="A120" t="s">
        <v>177</v>
      </c>
      <c r="B120" t="s">
        <v>90</v>
      </c>
      <c r="C120" t="s">
        <v>77</v>
      </c>
      <c r="D120" t="s">
        <v>78</v>
      </c>
      <c r="E120" t="s">
        <v>71</v>
      </c>
      <c r="F120">
        <v>1</v>
      </c>
      <c r="G120">
        <v>30000</v>
      </c>
      <c r="H120">
        <f t="shared" si="0"/>
        <v>30000</v>
      </c>
    </row>
    <row r="121" spans="1:8" ht="15.75" customHeight="1" x14ac:dyDescent="0.2">
      <c r="A121" t="s">
        <v>178</v>
      </c>
      <c r="B121" t="s">
        <v>105</v>
      </c>
      <c r="C121" t="s">
        <v>73</v>
      </c>
      <c r="D121" t="s">
        <v>85</v>
      </c>
      <c r="E121" t="s">
        <v>82</v>
      </c>
      <c r="F121">
        <v>14</v>
      </c>
      <c r="G121">
        <v>2000</v>
      </c>
      <c r="H121">
        <f t="shared" si="0"/>
        <v>28000</v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01"/>
  <sheetViews>
    <sheetView workbookViewId="0"/>
  </sheetViews>
  <sheetFormatPr defaultColWidth="14.390625" defaultRowHeight="15" customHeight="1" x14ac:dyDescent="0.2"/>
  <cols>
    <col min="1" max="1" width="10.4921875" customWidth="1"/>
    <col min="2" max="3" width="8.7421875" customWidth="1"/>
    <col min="4" max="4" width="13.98828125" customWidth="1"/>
    <col min="5" max="5" width="13.44921875" customWidth="1"/>
    <col min="6" max="6" width="9.953125" customWidth="1"/>
    <col min="7" max="7" width="10.76171875" customWidth="1"/>
    <col min="8" max="8" width="11.97265625" customWidth="1"/>
    <col min="9" max="9" width="11.56640625" customWidth="1"/>
    <col min="10" max="10" width="13.046875" customWidth="1"/>
    <col min="11" max="11" width="12.64453125" customWidth="1"/>
    <col min="12" max="12" width="16.0078125" customWidth="1"/>
    <col min="13" max="13" width="17.75390625" customWidth="1"/>
    <col min="14" max="16" width="8.7421875" customWidth="1"/>
  </cols>
  <sheetData>
    <row r="1" spans="1:16" x14ac:dyDescent="0.2">
      <c r="A1" s="21" t="s">
        <v>59</v>
      </c>
      <c r="B1" s="22" t="s">
        <v>60</v>
      </c>
      <c r="C1" s="22" t="s">
        <v>179</v>
      </c>
      <c r="D1" s="22" t="s">
        <v>61</v>
      </c>
      <c r="E1" s="22" t="s">
        <v>180</v>
      </c>
      <c r="F1" s="22" t="s">
        <v>62</v>
      </c>
      <c r="G1" s="22" t="s">
        <v>63</v>
      </c>
      <c r="H1" s="22" t="s">
        <v>64</v>
      </c>
      <c r="I1" s="22" t="s">
        <v>65</v>
      </c>
      <c r="J1" s="22" t="s">
        <v>181</v>
      </c>
      <c r="K1" s="22" t="s">
        <v>66</v>
      </c>
      <c r="L1" s="22" t="s">
        <v>182</v>
      </c>
      <c r="M1" s="23" t="s">
        <v>183</v>
      </c>
      <c r="N1" s="24"/>
      <c r="O1" s="24"/>
      <c r="P1" s="24"/>
    </row>
    <row r="2" spans="1:16" x14ac:dyDescent="0.2">
      <c r="A2" s="25">
        <v>45661</v>
      </c>
      <c r="B2" s="26" t="s">
        <v>90</v>
      </c>
      <c r="C2" s="26" t="s">
        <v>184</v>
      </c>
      <c r="D2" s="26" t="s">
        <v>84</v>
      </c>
      <c r="E2" s="26" t="s">
        <v>185</v>
      </c>
      <c r="F2" s="26" t="s">
        <v>74</v>
      </c>
      <c r="G2" s="26" t="s">
        <v>71</v>
      </c>
      <c r="H2" s="26">
        <v>20</v>
      </c>
      <c r="I2" s="26">
        <v>20000</v>
      </c>
      <c r="J2" s="27">
        <v>0.05</v>
      </c>
      <c r="K2" s="26">
        <f t="shared" ref="K2:K101" si="0">H2*I2*(1-J2)</f>
        <v>380000</v>
      </c>
      <c r="L2" s="26" t="s">
        <v>186</v>
      </c>
      <c r="M2" s="28" t="s">
        <v>187</v>
      </c>
      <c r="N2" s="29"/>
      <c r="O2" s="24"/>
      <c r="P2" s="24"/>
    </row>
    <row r="3" spans="1:16" x14ac:dyDescent="0.2">
      <c r="A3" s="25">
        <v>45739</v>
      </c>
      <c r="B3" s="26" t="s">
        <v>68</v>
      </c>
      <c r="C3" s="26" t="s">
        <v>188</v>
      </c>
      <c r="D3" s="26" t="s">
        <v>84</v>
      </c>
      <c r="E3" s="26" t="s">
        <v>82</v>
      </c>
      <c r="F3" s="26" t="s">
        <v>92</v>
      </c>
      <c r="G3" s="26" t="s">
        <v>71</v>
      </c>
      <c r="H3" s="26">
        <v>5</v>
      </c>
      <c r="I3" s="26">
        <v>60000</v>
      </c>
      <c r="J3" s="27">
        <v>0.1</v>
      </c>
      <c r="K3" s="26">
        <f t="shared" si="0"/>
        <v>270000</v>
      </c>
      <c r="L3" s="26" t="s">
        <v>189</v>
      </c>
      <c r="M3" s="28" t="s">
        <v>190</v>
      </c>
      <c r="N3" s="24"/>
      <c r="O3" s="24"/>
      <c r="P3" s="24"/>
    </row>
    <row r="4" spans="1:16" x14ac:dyDescent="0.2">
      <c r="A4" s="25">
        <v>45775</v>
      </c>
      <c r="B4" s="26" t="s">
        <v>90</v>
      </c>
      <c r="C4" s="26" t="s">
        <v>184</v>
      </c>
      <c r="D4" s="26" t="s">
        <v>191</v>
      </c>
      <c r="E4" s="26" t="s">
        <v>71</v>
      </c>
      <c r="F4" s="26" t="s">
        <v>74</v>
      </c>
      <c r="G4" s="26" t="s">
        <v>71</v>
      </c>
      <c r="H4" s="26">
        <v>17</v>
      </c>
      <c r="I4" s="26">
        <v>20000</v>
      </c>
      <c r="J4" s="27">
        <v>0.1</v>
      </c>
      <c r="K4" s="26">
        <f t="shared" si="0"/>
        <v>306000</v>
      </c>
      <c r="L4" s="26" t="s">
        <v>186</v>
      </c>
      <c r="M4" s="28" t="s">
        <v>192</v>
      </c>
      <c r="N4" s="24"/>
      <c r="O4" s="24"/>
      <c r="P4" s="24"/>
    </row>
    <row r="5" spans="1:16" x14ac:dyDescent="0.2">
      <c r="A5" s="25">
        <v>45890</v>
      </c>
      <c r="B5" s="26" t="s">
        <v>68</v>
      </c>
      <c r="C5" s="26" t="s">
        <v>188</v>
      </c>
      <c r="D5" s="26" t="s">
        <v>77</v>
      </c>
      <c r="E5" s="26" t="s">
        <v>71</v>
      </c>
      <c r="F5" s="26" t="s">
        <v>81</v>
      </c>
      <c r="G5" s="26" t="s">
        <v>82</v>
      </c>
      <c r="H5" s="26">
        <v>13</v>
      </c>
      <c r="I5" s="26">
        <v>800</v>
      </c>
      <c r="J5" s="27">
        <v>0.05</v>
      </c>
      <c r="K5" s="26">
        <f t="shared" si="0"/>
        <v>9880</v>
      </c>
      <c r="L5" s="26" t="s">
        <v>189</v>
      </c>
      <c r="M5" s="28" t="s">
        <v>187</v>
      </c>
      <c r="N5" s="24"/>
      <c r="O5" s="24"/>
      <c r="P5" s="24"/>
    </row>
    <row r="6" spans="1:16" x14ac:dyDescent="0.2">
      <c r="A6" s="25">
        <v>45802</v>
      </c>
      <c r="B6" s="26" t="s">
        <v>105</v>
      </c>
      <c r="C6" s="26" t="s">
        <v>193</v>
      </c>
      <c r="D6" s="26" t="s">
        <v>95</v>
      </c>
      <c r="E6" s="26" t="s">
        <v>185</v>
      </c>
      <c r="F6" s="26" t="s">
        <v>74</v>
      </c>
      <c r="G6" s="26" t="s">
        <v>71</v>
      </c>
      <c r="H6" s="26">
        <v>20</v>
      </c>
      <c r="I6" s="26">
        <v>20000</v>
      </c>
      <c r="J6" s="27">
        <v>0.1</v>
      </c>
      <c r="K6" s="26">
        <f t="shared" si="0"/>
        <v>360000</v>
      </c>
      <c r="L6" s="26" t="s">
        <v>186</v>
      </c>
      <c r="M6" s="28" t="s">
        <v>187</v>
      </c>
      <c r="N6" s="24"/>
      <c r="O6" s="24"/>
      <c r="P6" s="24"/>
    </row>
    <row r="7" spans="1:16" x14ac:dyDescent="0.2">
      <c r="A7" s="25">
        <v>45879</v>
      </c>
      <c r="B7" s="26" t="s">
        <v>76</v>
      </c>
      <c r="C7" s="26" t="s">
        <v>194</v>
      </c>
      <c r="D7" s="26" t="s">
        <v>191</v>
      </c>
      <c r="E7" s="26" t="s">
        <v>71</v>
      </c>
      <c r="F7" s="26" t="s">
        <v>87</v>
      </c>
      <c r="G7" s="26" t="s">
        <v>82</v>
      </c>
      <c r="H7" s="26">
        <v>6</v>
      </c>
      <c r="I7" s="26">
        <v>1500</v>
      </c>
      <c r="J7" s="27">
        <v>0.05</v>
      </c>
      <c r="K7" s="26">
        <f t="shared" si="0"/>
        <v>8550</v>
      </c>
      <c r="L7" s="26" t="s">
        <v>186</v>
      </c>
      <c r="M7" s="28" t="s">
        <v>192</v>
      </c>
      <c r="N7" s="24"/>
      <c r="O7" s="24"/>
      <c r="P7" s="24"/>
    </row>
    <row r="8" spans="1:16" x14ac:dyDescent="0.2">
      <c r="A8" s="25">
        <v>45835</v>
      </c>
      <c r="B8" s="26" t="s">
        <v>76</v>
      </c>
      <c r="C8" s="26" t="s">
        <v>194</v>
      </c>
      <c r="D8" s="26" t="s">
        <v>195</v>
      </c>
      <c r="E8" s="26" t="s">
        <v>82</v>
      </c>
      <c r="F8" s="26" t="s">
        <v>74</v>
      </c>
      <c r="G8" s="26" t="s">
        <v>71</v>
      </c>
      <c r="H8" s="26">
        <v>15</v>
      </c>
      <c r="I8" s="26">
        <v>20000</v>
      </c>
      <c r="J8" s="27">
        <v>0.15</v>
      </c>
      <c r="K8" s="26">
        <f t="shared" si="0"/>
        <v>255000</v>
      </c>
      <c r="L8" s="26" t="s">
        <v>186</v>
      </c>
      <c r="M8" s="28" t="s">
        <v>196</v>
      </c>
      <c r="N8" s="24"/>
      <c r="O8" s="24"/>
      <c r="P8" s="24"/>
    </row>
    <row r="9" spans="1:16" x14ac:dyDescent="0.2">
      <c r="A9" s="25">
        <v>45666</v>
      </c>
      <c r="B9" s="26" t="s">
        <v>76</v>
      </c>
      <c r="C9" s="26" t="s">
        <v>197</v>
      </c>
      <c r="D9" s="26" t="s">
        <v>73</v>
      </c>
      <c r="E9" s="26" t="s">
        <v>185</v>
      </c>
      <c r="F9" s="26" t="s">
        <v>78</v>
      </c>
      <c r="G9" s="26" t="s">
        <v>71</v>
      </c>
      <c r="H9" s="26">
        <v>8</v>
      </c>
      <c r="I9" s="26">
        <v>30000</v>
      </c>
      <c r="J9" s="27">
        <v>0.1</v>
      </c>
      <c r="K9" s="26">
        <f t="shared" si="0"/>
        <v>216000</v>
      </c>
      <c r="L9" s="26" t="s">
        <v>186</v>
      </c>
      <c r="M9" s="28" t="s">
        <v>187</v>
      </c>
      <c r="N9" s="24"/>
      <c r="O9" s="24"/>
      <c r="P9" s="24"/>
    </row>
    <row r="10" spans="1:16" x14ac:dyDescent="0.2">
      <c r="A10" s="25">
        <v>45903</v>
      </c>
      <c r="B10" s="26" t="s">
        <v>68</v>
      </c>
      <c r="C10" s="26" t="s">
        <v>188</v>
      </c>
      <c r="D10" s="26" t="s">
        <v>195</v>
      </c>
      <c r="E10" s="26" t="s">
        <v>82</v>
      </c>
      <c r="F10" s="26" t="s">
        <v>92</v>
      </c>
      <c r="G10" s="26" t="s">
        <v>71</v>
      </c>
      <c r="H10" s="26">
        <v>3</v>
      </c>
      <c r="I10" s="26">
        <v>60000</v>
      </c>
      <c r="J10" s="27">
        <v>0.15</v>
      </c>
      <c r="K10" s="26">
        <f t="shared" si="0"/>
        <v>153000</v>
      </c>
      <c r="L10" s="26" t="s">
        <v>186</v>
      </c>
      <c r="M10" s="28" t="s">
        <v>196</v>
      </c>
      <c r="N10" s="24"/>
      <c r="O10" s="24"/>
      <c r="P10" s="24"/>
    </row>
    <row r="11" spans="1:16" x14ac:dyDescent="0.2">
      <c r="A11" s="25">
        <v>45689</v>
      </c>
      <c r="B11" s="26" t="s">
        <v>105</v>
      </c>
      <c r="C11" s="26" t="s">
        <v>198</v>
      </c>
      <c r="D11" s="26" t="s">
        <v>191</v>
      </c>
      <c r="E11" s="26" t="s">
        <v>185</v>
      </c>
      <c r="F11" s="26" t="s">
        <v>199</v>
      </c>
      <c r="G11" s="26" t="s">
        <v>185</v>
      </c>
      <c r="H11" s="26">
        <v>8</v>
      </c>
      <c r="I11" s="26">
        <v>12000</v>
      </c>
      <c r="J11" s="27">
        <v>0</v>
      </c>
      <c r="K11" s="26">
        <f t="shared" si="0"/>
        <v>96000</v>
      </c>
      <c r="L11" s="26" t="s">
        <v>189</v>
      </c>
      <c r="M11" s="28" t="s">
        <v>196</v>
      </c>
      <c r="N11" s="24"/>
      <c r="O11" s="24"/>
      <c r="P11" s="24"/>
    </row>
    <row r="12" spans="1:16" x14ac:dyDescent="0.2">
      <c r="A12" s="25">
        <v>45964</v>
      </c>
      <c r="B12" s="26" t="s">
        <v>76</v>
      </c>
      <c r="C12" s="26" t="s">
        <v>197</v>
      </c>
      <c r="D12" s="26" t="s">
        <v>77</v>
      </c>
      <c r="E12" s="26" t="s">
        <v>71</v>
      </c>
      <c r="F12" s="26" t="s">
        <v>199</v>
      </c>
      <c r="G12" s="26" t="s">
        <v>185</v>
      </c>
      <c r="H12" s="26">
        <v>19</v>
      </c>
      <c r="I12" s="26">
        <v>12000</v>
      </c>
      <c r="J12" s="27">
        <v>0.1</v>
      </c>
      <c r="K12" s="26">
        <f t="shared" si="0"/>
        <v>205200</v>
      </c>
      <c r="L12" s="26" t="s">
        <v>189</v>
      </c>
      <c r="M12" s="28" t="s">
        <v>190</v>
      </c>
      <c r="N12" s="24"/>
      <c r="O12" s="24"/>
      <c r="P12" s="24"/>
    </row>
    <row r="13" spans="1:16" x14ac:dyDescent="0.2">
      <c r="A13" s="25">
        <v>45969</v>
      </c>
      <c r="B13" s="26" t="s">
        <v>105</v>
      </c>
      <c r="C13" s="26" t="s">
        <v>193</v>
      </c>
      <c r="D13" s="26" t="s">
        <v>80</v>
      </c>
      <c r="E13" s="26" t="s">
        <v>71</v>
      </c>
      <c r="F13" s="26" t="s">
        <v>78</v>
      </c>
      <c r="G13" s="26" t="s">
        <v>71</v>
      </c>
      <c r="H13" s="26">
        <v>14</v>
      </c>
      <c r="I13" s="26">
        <v>30000</v>
      </c>
      <c r="J13" s="27">
        <v>0</v>
      </c>
      <c r="K13" s="26">
        <f t="shared" si="0"/>
        <v>420000</v>
      </c>
      <c r="L13" s="26" t="s">
        <v>186</v>
      </c>
      <c r="M13" s="28" t="s">
        <v>192</v>
      </c>
      <c r="N13" s="24"/>
      <c r="O13" s="24"/>
      <c r="P13" s="24"/>
    </row>
    <row r="14" spans="1:16" x14ac:dyDescent="0.2">
      <c r="A14" s="25">
        <v>45855</v>
      </c>
      <c r="B14" s="26" t="s">
        <v>76</v>
      </c>
      <c r="C14" s="26" t="s">
        <v>194</v>
      </c>
      <c r="D14" s="26" t="s">
        <v>191</v>
      </c>
      <c r="E14" s="26" t="s">
        <v>71</v>
      </c>
      <c r="F14" s="26" t="s">
        <v>87</v>
      </c>
      <c r="G14" s="26" t="s">
        <v>82</v>
      </c>
      <c r="H14" s="26">
        <v>5</v>
      </c>
      <c r="I14" s="26">
        <v>1500</v>
      </c>
      <c r="J14" s="27">
        <v>0</v>
      </c>
      <c r="K14" s="26">
        <f t="shared" si="0"/>
        <v>7500</v>
      </c>
      <c r="L14" s="26" t="s">
        <v>186</v>
      </c>
      <c r="M14" s="28" t="s">
        <v>190</v>
      </c>
      <c r="N14" s="24"/>
      <c r="O14" s="24"/>
      <c r="P14" s="24"/>
    </row>
    <row r="15" spans="1:16" x14ac:dyDescent="0.2">
      <c r="A15" s="25">
        <v>45844</v>
      </c>
      <c r="B15" s="26" t="s">
        <v>68</v>
      </c>
      <c r="C15" s="26" t="s">
        <v>200</v>
      </c>
      <c r="D15" s="26" t="s">
        <v>84</v>
      </c>
      <c r="E15" s="26" t="s">
        <v>71</v>
      </c>
      <c r="F15" s="26" t="s">
        <v>199</v>
      </c>
      <c r="G15" s="26" t="s">
        <v>185</v>
      </c>
      <c r="H15" s="26">
        <v>12</v>
      </c>
      <c r="I15" s="26">
        <v>12000</v>
      </c>
      <c r="J15" s="27">
        <v>0</v>
      </c>
      <c r="K15" s="26">
        <f t="shared" si="0"/>
        <v>144000</v>
      </c>
      <c r="L15" s="26" t="s">
        <v>189</v>
      </c>
      <c r="M15" s="28" t="s">
        <v>190</v>
      </c>
      <c r="N15" s="24"/>
      <c r="O15" s="24"/>
      <c r="P15" s="24"/>
    </row>
    <row r="16" spans="1:16" x14ac:dyDescent="0.2">
      <c r="A16" s="25">
        <v>45947</v>
      </c>
      <c r="B16" s="26" t="s">
        <v>76</v>
      </c>
      <c r="C16" s="26" t="s">
        <v>194</v>
      </c>
      <c r="D16" s="26" t="s">
        <v>195</v>
      </c>
      <c r="E16" s="26" t="s">
        <v>82</v>
      </c>
      <c r="F16" s="26" t="s">
        <v>78</v>
      </c>
      <c r="G16" s="26" t="s">
        <v>71</v>
      </c>
      <c r="H16" s="26">
        <v>7</v>
      </c>
      <c r="I16" s="26">
        <v>30000</v>
      </c>
      <c r="J16" s="27">
        <v>0.1</v>
      </c>
      <c r="K16" s="26">
        <f t="shared" si="0"/>
        <v>189000</v>
      </c>
      <c r="L16" s="26" t="s">
        <v>189</v>
      </c>
      <c r="M16" s="28" t="s">
        <v>196</v>
      </c>
      <c r="N16" s="24"/>
      <c r="O16" s="24"/>
      <c r="P16" s="24"/>
    </row>
    <row r="17" spans="1:16" x14ac:dyDescent="0.2">
      <c r="A17" s="25">
        <v>45793</v>
      </c>
      <c r="B17" s="26" t="s">
        <v>90</v>
      </c>
      <c r="C17" s="26" t="s">
        <v>201</v>
      </c>
      <c r="D17" s="26" t="s">
        <v>84</v>
      </c>
      <c r="E17" s="26" t="s">
        <v>185</v>
      </c>
      <c r="F17" s="26" t="s">
        <v>85</v>
      </c>
      <c r="G17" s="26" t="s">
        <v>82</v>
      </c>
      <c r="H17" s="26">
        <v>8</v>
      </c>
      <c r="I17" s="26">
        <v>2500</v>
      </c>
      <c r="J17" s="27">
        <v>0</v>
      </c>
      <c r="K17" s="26">
        <f t="shared" si="0"/>
        <v>20000</v>
      </c>
      <c r="L17" s="26" t="s">
        <v>189</v>
      </c>
      <c r="M17" s="28" t="s">
        <v>192</v>
      </c>
      <c r="N17" s="24"/>
      <c r="O17" s="24"/>
      <c r="P17" s="24"/>
    </row>
    <row r="18" spans="1:16" x14ac:dyDescent="0.2">
      <c r="A18" s="25">
        <v>45838</v>
      </c>
      <c r="B18" s="26" t="s">
        <v>68</v>
      </c>
      <c r="C18" s="26" t="s">
        <v>202</v>
      </c>
      <c r="D18" s="26" t="s">
        <v>80</v>
      </c>
      <c r="E18" s="26" t="s">
        <v>71</v>
      </c>
      <c r="F18" s="26" t="s">
        <v>92</v>
      </c>
      <c r="G18" s="26" t="s">
        <v>71</v>
      </c>
      <c r="H18" s="26">
        <v>10</v>
      </c>
      <c r="I18" s="26">
        <v>60000</v>
      </c>
      <c r="J18" s="27">
        <v>0.1</v>
      </c>
      <c r="K18" s="26">
        <f t="shared" si="0"/>
        <v>540000</v>
      </c>
      <c r="L18" s="26" t="s">
        <v>186</v>
      </c>
      <c r="M18" s="28" t="s">
        <v>187</v>
      </c>
      <c r="N18" s="24"/>
      <c r="O18" s="24"/>
      <c r="P18" s="24"/>
    </row>
    <row r="19" spans="1:16" x14ac:dyDescent="0.2">
      <c r="A19" s="25">
        <v>46023</v>
      </c>
      <c r="B19" s="26" t="s">
        <v>105</v>
      </c>
      <c r="C19" s="26" t="s">
        <v>203</v>
      </c>
      <c r="D19" s="26" t="s">
        <v>84</v>
      </c>
      <c r="E19" s="26" t="s">
        <v>82</v>
      </c>
      <c r="F19" s="26" t="s">
        <v>85</v>
      </c>
      <c r="G19" s="26" t="s">
        <v>82</v>
      </c>
      <c r="H19" s="26">
        <v>10</v>
      </c>
      <c r="I19" s="26">
        <v>2500</v>
      </c>
      <c r="J19" s="27">
        <v>0.1</v>
      </c>
      <c r="K19" s="26">
        <f t="shared" si="0"/>
        <v>22500</v>
      </c>
      <c r="L19" s="26" t="s">
        <v>189</v>
      </c>
      <c r="M19" s="28" t="s">
        <v>196</v>
      </c>
      <c r="N19" s="24"/>
      <c r="O19" s="24"/>
      <c r="P19" s="24"/>
    </row>
    <row r="20" spans="1:16" x14ac:dyDescent="0.2">
      <c r="A20" s="25">
        <v>45877</v>
      </c>
      <c r="B20" s="26" t="s">
        <v>68</v>
      </c>
      <c r="C20" s="26" t="s">
        <v>200</v>
      </c>
      <c r="D20" s="26" t="s">
        <v>191</v>
      </c>
      <c r="E20" s="26" t="s">
        <v>71</v>
      </c>
      <c r="F20" s="26" t="s">
        <v>81</v>
      </c>
      <c r="G20" s="26" t="s">
        <v>82</v>
      </c>
      <c r="H20" s="26">
        <v>2</v>
      </c>
      <c r="I20" s="26">
        <v>800</v>
      </c>
      <c r="J20" s="27">
        <v>0.15</v>
      </c>
      <c r="K20" s="26">
        <f t="shared" si="0"/>
        <v>1360</v>
      </c>
      <c r="L20" s="26" t="s">
        <v>189</v>
      </c>
      <c r="M20" s="28" t="s">
        <v>187</v>
      </c>
      <c r="N20" s="24"/>
      <c r="O20" s="24"/>
      <c r="P20" s="24"/>
    </row>
    <row r="21" spans="1:16" ht="15.75" customHeight="1" x14ac:dyDescent="0.2">
      <c r="A21" s="25">
        <v>45662</v>
      </c>
      <c r="B21" s="26" t="s">
        <v>90</v>
      </c>
      <c r="C21" s="26" t="s">
        <v>184</v>
      </c>
      <c r="D21" s="26" t="s">
        <v>69</v>
      </c>
      <c r="E21" s="26" t="s">
        <v>185</v>
      </c>
      <c r="F21" s="26" t="s">
        <v>78</v>
      </c>
      <c r="G21" s="26" t="s">
        <v>71</v>
      </c>
      <c r="H21" s="26">
        <v>5</v>
      </c>
      <c r="I21" s="26">
        <v>30000</v>
      </c>
      <c r="J21" s="27">
        <v>0.15</v>
      </c>
      <c r="K21" s="26">
        <f t="shared" si="0"/>
        <v>127500</v>
      </c>
      <c r="L21" s="26" t="s">
        <v>189</v>
      </c>
      <c r="M21" s="28" t="s">
        <v>187</v>
      </c>
      <c r="N21" s="24"/>
      <c r="O21" s="24"/>
      <c r="P21" s="24"/>
    </row>
    <row r="22" spans="1:16" ht="15.75" customHeight="1" x14ac:dyDescent="0.2">
      <c r="A22" s="25">
        <v>46018</v>
      </c>
      <c r="B22" s="26" t="s">
        <v>76</v>
      </c>
      <c r="C22" s="26" t="s">
        <v>194</v>
      </c>
      <c r="D22" s="26" t="s">
        <v>77</v>
      </c>
      <c r="E22" s="26" t="s">
        <v>82</v>
      </c>
      <c r="F22" s="26" t="s">
        <v>70</v>
      </c>
      <c r="G22" s="26" t="s">
        <v>71</v>
      </c>
      <c r="H22" s="26">
        <v>13</v>
      </c>
      <c r="I22" s="26">
        <v>15000</v>
      </c>
      <c r="J22" s="27">
        <v>0.05</v>
      </c>
      <c r="K22" s="26">
        <f t="shared" si="0"/>
        <v>185250</v>
      </c>
      <c r="L22" s="26" t="s">
        <v>189</v>
      </c>
      <c r="M22" s="28" t="s">
        <v>187</v>
      </c>
      <c r="N22" s="24"/>
      <c r="O22" s="24"/>
      <c r="P22" s="24"/>
    </row>
    <row r="23" spans="1:16" ht="15.75" customHeight="1" x14ac:dyDescent="0.2">
      <c r="A23" s="25">
        <v>45742</v>
      </c>
      <c r="B23" s="26" t="s">
        <v>68</v>
      </c>
      <c r="C23" s="26" t="s">
        <v>188</v>
      </c>
      <c r="D23" s="26" t="s">
        <v>77</v>
      </c>
      <c r="E23" s="26" t="s">
        <v>82</v>
      </c>
      <c r="F23" s="26" t="s">
        <v>74</v>
      </c>
      <c r="G23" s="26" t="s">
        <v>71</v>
      </c>
      <c r="H23" s="26">
        <v>1</v>
      </c>
      <c r="I23" s="26">
        <v>20000</v>
      </c>
      <c r="J23" s="27">
        <v>0.1</v>
      </c>
      <c r="K23" s="26">
        <f t="shared" si="0"/>
        <v>18000</v>
      </c>
      <c r="L23" s="26" t="s">
        <v>189</v>
      </c>
      <c r="M23" s="28" t="s">
        <v>192</v>
      </c>
      <c r="N23" s="24"/>
      <c r="O23" s="24"/>
      <c r="P23" s="24"/>
    </row>
    <row r="24" spans="1:16" ht="15.75" customHeight="1" x14ac:dyDescent="0.2">
      <c r="A24" s="25">
        <v>45773</v>
      </c>
      <c r="B24" s="26" t="s">
        <v>76</v>
      </c>
      <c r="C24" s="26" t="s">
        <v>194</v>
      </c>
      <c r="D24" s="26" t="s">
        <v>95</v>
      </c>
      <c r="E24" s="26" t="s">
        <v>82</v>
      </c>
      <c r="F24" s="26" t="s">
        <v>78</v>
      </c>
      <c r="G24" s="26" t="s">
        <v>71</v>
      </c>
      <c r="H24" s="26">
        <v>7</v>
      </c>
      <c r="I24" s="26">
        <v>30000</v>
      </c>
      <c r="J24" s="27">
        <v>0</v>
      </c>
      <c r="K24" s="26">
        <f t="shared" si="0"/>
        <v>210000</v>
      </c>
      <c r="L24" s="26" t="s">
        <v>186</v>
      </c>
      <c r="M24" s="28" t="s">
        <v>192</v>
      </c>
      <c r="N24" s="24"/>
      <c r="O24" s="24"/>
      <c r="P24" s="24"/>
    </row>
    <row r="25" spans="1:16" ht="15.75" customHeight="1" x14ac:dyDescent="0.2">
      <c r="A25" s="25">
        <v>45763</v>
      </c>
      <c r="B25" s="26" t="s">
        <v>76</v>
      </c>
      <c r="C25" s="26" t="s">
        <v>204</v>
      </c>
      <c r="D25" s="26" t="s">
        <v>69</v>
      </c>
      <c r="E25" s="26" t="s">
        <v>185</v>
      </c>
      <c r="F25" s="26" t="s">
        <v>87</v>
      </c>
      <c r="G25" s="26" t="s">
        <v>82</v>
      </c>
      <c r="H25" s="26">
        <v>12</v>
      </c>
      <c r="I25" s="26">
        <v>1500</v>
      </c>
      <c r="J25" s="27">
        <v>0.15</v>
      </c>
      <c r="K25" s="26">
        <f t="shared" si="0"/>
        <v>15300</v>
      </c>
      <c r="L25" s="26" t="s">
        <v>189</v>
      </c>
      <c r="M25" s="28" t="s">
        <v>187</v>
      </c>
      <c r="N25" s="24"/>
      <c r="O25" s="24"/>
      <c r="P25" s="24"/>
    </row>
    <row r="26" spans="1:16" ht="15.75" customHeight="1" x14ac:dyDescent="0.2">
      <c r="A26" s="25">
        <v>45974</v>
      </c>
      <c r="B26" s="26" t="s">
        <v>76</v>
      </c>
      <c r="C26" s="26" t="s">
        <v>204</v>
      </c>
      <c r="D26" s="26" t="s">
        <v>73</v>
      </c>
      <c r="E26" s="26" t="s">
        <v>71</v>
      </c>
      <c r="F26" s="26" t="s">
        <v>92</v>
      </c>
      <c r="G26" s="26" t="s">
        <v>71</v>
      </c>
      <c r="H26" s="26">
        <v>16</v>
      </c>
      <c r="I26" s="26">
        <v>60000</v>
      </c>
      <c r="J26" s="27">
        <v>0.1</v>
      </c>
      <c r="K26" s="26">
        <f t="shared" si="0"/>
        <v>864000</v>
      </c>
      <c r="L26" s="26" t="s">
        <v>186</v>
      </c>
      <c r="M26" s="28" t="s">
        <v>196</v>
      </c>
      <c r="N26" s="24"/>
      <c r="O26" s="24"/>
      <c r="P26" s="24"/>
    </row>
    <row r="27" spans="1:16" ht="15.75" customHeight="1" x14ac:dyDescent="0.2">
      <c r="A27" s="25">
        <v>45847</v>
      </c>
      <c r="B27" s="26" t="s">
        <v>76</v>
      </c>
      <c r="C27" s="26" t="s">
        <v>197</v>
      </c>
      <c r="D27" s="26" t="s">
        <v>73</v>
      </c>
      <c r="E27" s="26" t="s">
        <v>185</v>
      </c>
      <c r="F27" s="26" t="s">
        <v>92</v>
      </c>
      <c r="G27" s="26" t="s">
        <v>71</v>
      </c>
      <c r="H27" s="26">
        <v>8</v>
      </c>
      <c r="I27" s="26">
        <v>60000</v>
      </c>
      <c r="J27" s="27">
        <v>0.1</v>
      </c>
      <c r="K27" s="26">
        <f t="shared" si="0"/>
        <v>432000</v>
      </c>
      <c r="L27" s="26" t="s">
        <v>186</v>
      </c>
      <c r="M27" s="28" t="s">
        <v>187</v>
      </c>
      <c r="N27" s="24"/>
      <c r="O27" s="24"/>
      <c r="P27" s="24"/>
    </row>
    <row r="28" spans="1:16" ht="15.75" customHeight="1" x14ac:dyDescent="0.2">
      <c r="A28" s="25">
        <v>45787</v>
      </c>
      <c r="B28" s="26" t="s">
        <v>68</v>
      </c>
      <c r="C28" s="26" t="s">
        <v>200</v>
      </c>
      <c r="D28" s="26" t="s">
        <v>191</v>
      </c>
      <c r="E28" s="26" t="s">
        <v>71</v>
      </c>
      <c r="F28" s="26" t="s">
        <v>74</v>
      </c>
      <c r="G28" s="26" t="s">
        <v>71</v>
      </c>
      <c r="H28" s="26">
        <v>19</v>
      </c>
      <c r="I28" s="26">
        <v>20000</v>
      </c>
      <c r="J28" s="27">
        <v>0</v>
      </c>
      <c r="K28" s="26">
        <f t="shared" si="0"/>
        <v>380000</v>
      </c>
      <c r="L28" s="26" t="s">
        <v>186</v>
      </c>
      <c r="M28" s="28" t="s">
        <v>192</v>
      </c>
      <c r="N28" s="24"/>
      <c r="O28" s="24"/>
      <c r="P28" s="24"/>
    </row>
    <row r="29" spans="1:16" ht="15.75" customHeight="1" x14ac:dyDescent="0.2">
      <c r="A29" s="25">
        <v>45899</v>
      </c>
      <c r="B29" s="26" t="s">
        <v>68</v>
      </c>
      <c r="C29" s="26" t="s">
        <v>202</v>
      </c>
      <c r="D29" s="26" t="s">
        <v>195</v>
      </c>
      <c r="E29" s="26" t="s">
        <v>185</v>
      </c>
      <c r="F29" s="26" t="s">
        <v>70</v>
      </c>
      <c r="G29" s="26" t="s">
        <v>71</v>
      </c>
      <c r="H29" s="26">
        <v>6</v>
      </c>
      <c r="I29" s="26">
        <v>15000</v>
      </c>
      <c r="J29" s="27">
        <v>0.05</v>
      </c>
      <c r="K29" s="26">
        <f t="shared" si="0"/>
        <v>85500</v>
      </c>
      <c r="L29" s="26" t="s">
        <v>186</v>
      </c>
      <c r="M29" s="28" t="s">
        <v>196</v>
      </c>
      <c r="N29" s="24"/>
      <c r="O29" s="24"/>
      <c r="P29" s="24"/>
    </row>
    <row r="30" spans="1:16" ht="15.75" customHeight="1" x14ac:dyDescent="0.2">
      <c r="A30" s="25">
        <v>45858</v>
      </c>
      <c r="B30" s="26" t="s">
        <v>105</v>
      </c>
      <c r="C30" s="26" t="s">
        <v>203</v>
      </c>
      <c r="D30" s="26" t="s">
        <v>80</v>
      </c>
      <c r="E30" s="26" t="s">
        <v>82</v>
      </c>
      <c r="F30" s="26" t="s">
        <v>74</v>
      </c>
      <c r="G30" s="26" t="s">
        <v>71</v>
      </c>
      <c r="H30" s="26">
        <v>8</v>
      </c>
      <c r="I30" s="26">
        <v>20000</v>
      </c>
      <c r="J30" s="27">
        <v>0</v>
      </c>
      <c r="K30" s="26">
        <f t="shared" si="0"/>
        <v>160000</v>
      </c>
      <c r="L30" s="26" t="s">
        <v>186</v>
      </c>
      <c r="M30" s="28" t="s">
        <v>187</v>
      </c>
      <c r="N30" s="24"/>
      <c r="O30" s="24"/>
      <c r="P30" s="24"/>
    </row>
    <row r="31" spans="1:16" ht="15.75" customHeight="1" x14ac:dyDescent="0.2">
      <c r="A31" s="25">
        <v>46019</v>
      </c>
      <c r="B31" s="26" t="s">
        <v>105</v>
      </c>
      <c r="C31" s="26" t="s">
        <v>198</v>
      </c>
      <c r="D31" s="26" t="s">
        <v>95</v>
      </c>
      <c r="E31" s="26" t="s">
        <v>82</v>
      </c>
      <c r="F31" s="26" t="s">
        <v>78</v>
      </c>
      <c r="G31" s="26" t="s">
        <v>71</v>
      </c>
      <c r="H31" s="26">
        <v>16</v>
      </c>
      <c r="I31" s="26">
        <v>30000</v>
      </c>
      <c r="J31" s="27">
        <v>0</v>
      </c>
      <c r="K31" s="26">
        <f t="shared" si="0"/>
        <v>480000</v>
      </c>
      <c r="L31" s="26" t="s">
        <v>189</v>
      </c>
      <c r="M31" s="28" t="s">
        <v>187</v>
      </c>
      <c r="N31" s="24"/>
      <c r="O31" s="24"/>
      <c r="P31" s="24"/>
    </row>
    <row r="32" spans="1:16" ht="15.75" customHeight="1" x14ac:dyDescent="0.2">
      <c r="A32" s="25">
        <v>45817</v>
      </c>
      <c r="B32" s="26" t="s">
        <v>90</v>
      </c>
      <c r="C32" s="26" t="s">
        <v>184</v>
      </c>
      <c r="D32" s="26" t="s">
        <v>77</v>
      </c>
      <c r="E32" s="26" t="s">
        <v>71</v>
      </c>
      <c r="F32" s="26" t="s">
        <v>92</v>
      </c>
      <c r="G32" s="26" t="s">
        <v>71</v>
      </c>
      <c r="H32" s="26">
        <v>18</v>
      </c>
      <c r="I32" s="26">
        <v>60000</v>
      </c>
      <c r="J32" s="27">
        <v>0.15</v>
      </c>
      <c r="K32" s="26">
        <f t="shared" si="0"/>
        <v>918000</v>
      </c>
      <c r="L32" s="26" t="s">
        <v>189</v>
      </c>
      <c r="M32" s="28" t="s">
        <v>196</v>
      </c>
      <c r="N32" s="24"/>
      <c r="O32" s="24"/>
      <c r="P32" s="24"/>
    </row>
    <row r="33" spans="1:16" ht="15.75" customHeight="1" x14ac:dyDescent="0.2">
      <c r="A33" s="25">
        <v>45773</v>
      </c>
      <c r="B33" s="26" t="s">
        <v>76</v>
      </c>
      <c r="C33" s="26" t="s">
        <v>204</v>
      </c>
      <c r="D33" s="26" t="s">
        <v>73</v>
      </c>
      <c r="E33" s="26" t="s">
        <v>185</v>
      </c>
      <c r="F33" s="26" t="s">
        <v>81</v>
      </c>
      <c r="G33" s="26" t="s">
        <v>82</v>
      </c>
      <c r="H33" s="26">
        <v>19</v>
      </c>
      <c r="I33" s="26">
        <v>800</v>
      </c>
      <c r="J33" s="27">
        <v>0.15</v>
      </c>
      <c r="K33" s="26">
        <f t="shared" si="0"/>
        <v>12920</v>
      </c>
      <c r="L33" s="26" t="s">
        <v>189</v>
      </c>
      <c r="M33" s="28" t="s">
        <v>190</v>
      </c>
      <c r="N33" s="24"/>
      <c r="O33" s="24"/>
      <c r="P33" s="24"/>
    </row>
    <row r="34" spans="1:16" ht="15.75" customHeight="1" x14ac:dyDescent="0.2">
      <c r="A34" s="25">
        <v>45874</v>
      </c>
      <c r="B34" s="26" t="s">
        <v>68</v>
      </c>
      <c r="C34" s="26" t="s">
        <v>202</v>
      </c>
      <c r="D34" s="26" t="s">
        <v>80</v>
      </c>
      <c r="E34" s="26" t="s">
        <v>71</v>
      </c>
      <c r="F34" s="26" t="s">
        <v>78</v>
      </c>
      <c r="G34" s="26" t="s">
        <v>71</v>
      </c>
      <c r="H34" s="26">
        <v>15</v>
      </c>
      <c r="I34" s="26">
        <v>30000</v>
      </c>
      <c r="J34" s="27">
        <v>0.15</v>
      </c>
      <c r="K34" s="26">
        <f t="shared" si="0"/>
        <v>382500</v>
      </c>
      <c r="L34" s="26" t="s">
        <v>189</v>
      </c>
      <c r="M34" s="28" t="s">
        <v>187</v>
      </c>
      <c r="N34" s="24"/>
      <c r="O34" s="24"/>
      <c r="P34" s="24"/>
    </row>
    <row r="35" spans="1:16" ht="15.75" customHeight="1" x14ac:dyDescent="0.2">
      <c r="A35" s="25">
        <v>46010</v>
      </c>
      <c r="B35" s="26" t="s">
        <v>76</v>
      </c>
      <c r="C35" s="26" t="s">
        <v>194</v>
      </c>
      <c r="D35" s="26" t="s">
        <v>191</v>
      </c>
      <c r="E35" s="26" t="s">
        <v>185</v>
      </c>
      <c r="F35" s="26" t="s">
        <v>81</v>
      </c>
      <c r="G35" s="26" t="s">
        <v>82</v>
      </c>
      <c r="H35" s="26">
        <v>16</v>
      </c>
      <c r="I35" s="26">
        <v>800</v>
      </c>
      <c r="J35" s="27">
        <v>0.05</v>
      </c>
      <c r="K35" s="26">
        <f t="shared" si="0"/>
        <v>12160</v>
      </c>
      <c r="L35" s="26" t="s">
        <v>186</v>
      </c>
      <c r="M35" s="28" t="s">
        <v>192</v>
      </c>
      <c r="N35" s="24"/>
      <c r="O35" s="24"/>
      <c r="P35" s="24"/>
    </row>
    <row r="36" spans="1:16" ht="15.75" customHeight="1" x14ac:dyDescent="0.2">
      <c r="A36" s="25">
        <v>45845</v>
      </c>
      <c r="B36" s="26" t="s">
        <v>90</v>
      </c>
      <c r="C36" s="26" t="s">
        <v>184</v>
      </c>
      <c r="D36" s="26" t="s">
        <v>77</v>
      </c>
      <c r="E36" s="26" t="s">
        <v>71</v>
      </c>
      <c r="F36" s="26" t="s">
        <v>81</v>
      </c>
      <c r="G36" s="26" t="s">
        <v>82</v>
      </c>
      <c r="H36" s="26">
        <v>6</v>
      </c>
      <c r="I36" s="26">
        <v>800</v>
      </c>
      <c r="J36" s="27">
        <v>0.05</v>
      </c>
      <c r="K36" s="26">
        <f t="shared" si="0"/>
        <v>4560</v>
      </c>
      <c r="L36" s="26" t="s">
        <v>186</v>
      </c>
      <c r="M36" s="28" t="s">
        <v>192</v>
      </c>
      <c r="N36" s="24"/>
      <c r="O36" s="24"/>
      <c r="P36" s="24"/>
    </row>
    <row r="37" spans="1:16" ht="15.75" customHeight="1" x14ac:dyDescent="0.2">
      <c r="A37" s="25">
        <v>45922</v>
      </c>
      <c r="B37" s="26" t="s">
        <v>105</v>
      </c>
      <c r="C37" s="26" t="s">
        <v>198</v>
      </c>
      <c r="D37" s="26" t="s">
        <v>73</v>
      </c>
      <c r="E37" s="26" t="s">
        <v>82</v>
      </c>
      <c r="F37" s="26" t="s">
        <v>199</v>
      </c>
      <c r="G37" s="26" t="s">
        <v>185</v>
      </c>
      <c r="H37" s="26">
        <v>14</v>
      </c>
      <c r="I37" s="26">
        <v>12000</v>
      </c>
      <c r="J37" s="27">
        <v>0</v>
      </c>
      <c r="K37" s="26">
        <f t="shared" si="0"/>
        <v>168000</v>
      </c>
      <c r="L37" s="26" t="s">
        <v>186</v>
      </c>
      <c r="M37" s="28" t="s">
        <v>187</v>
      </c>
      <c r="N37" s="24"/>
      <c r="O37" s="24"/>
      <c r="P37" s="24"/>
    </row>
    <row r="38" spans="1:16" ht="15.75" customHeight="1" x14ac:dyDescent="0.2">
      <c r="A38" s="25">
        <v>45915</v>
      </c>
      <c r="B38" s="26" t="s">
        <v>105</v>
      </c>
      <c r="C38" s="26" t="s">
        <v>193</v>
      </c>
      <c r="D38" s="26" t="s">
        <v>191</v>
      </c>
      <c r="E38" s="26" t="s">
        <v>71</v>
      </c>
      <c r="F38" s="26" t="s">
        <v>78</v>
      </c>
      <c r="G38" s="26" t="s">
        <v>71</v>
      </c>
      <c r="H38" s="26">
        <v>15</v>
      </c>
      <c r="I38" s="26">
        <v>30000</v>
      </c>
      <c r="J38" s="27">
        <v>0</v>
      </c>
      <c r="K38" s="26">
        <f t="shared" si="0"/>
        <v>450000</v>
      </c>
      <c r="L38" s="26" t="s">
        <v>189</v>
      </c>
      <c r="M38" s="28" t="s">
        <v>190</v>
      </c>
      <c r="N38" s="24"/>
      <c r="O38" s="24"/>
      <c r="P38" s="24"/>
    </row>
    <row r="39" spans="1:16" ht="15.75" customHeight="1" x14ac:dyDescent="0.2">
      <c r="A39" s="25">
        <v>45824</v>
      </c>
      <c r="B39" s="26" t="s">
        <v>90</v>
      </c>
      <c r="C39" s="26" t="s">
        <v>205</v>
      </c>
      <c r="D39" s="26" t="s">
        <v>69</v>
      </c>
      <c r="E39" s="26" t="s">
        <v>185</v>
      </c>
      <c r="F39" s="26" t="s">
        <v>87</v>
      </c>
      <c r="G39" s="26" t="s">
        <v>82</v>
      </c>
      <c r="H39" s="26">
        <v>18</v>
      </c>
      <c r="I39" s="26">
        <v>1500</v>
      </c>
      <c r="J39" s="27">
        <v>0.1</v>
      </c>
      <c r="K39" s="26">
        <f t="shared" si="0"/>
        <v>24300</v>
      </c>
      <c r="L39" s="26" t="s">
        <v>186</v>
      </c>
      <c r="M39" s="28" t="s">
        <v>190</v>
      </c>
      <c r="N39" s="24"/>
      <c r="O39" s="24"/>
      <c r="P39" s="24"/>
    </row>
    <row r="40" spans="1:16" ht="15.75" customHeight="1" x14ac:dyDescent="0.2">
      <c r="A40" s="25">
        <v>45835</v>
      </c>
      <c r="B40" s="26" t="s">
        <v>68</v>
      </c>
      <c r="C40" s="26" t="s">
        <v>202</v>
      </c>
      <c r="D40" s="26" t="s">
        <v>73</v>
      </c>
      <c r="E40" s="26" t="s">
        <v>185</v>
      </c>
      <c r="F40" s="26" t="s">
        <v>74</v>
      </c>
      <c r="G40" s="26" t="s">
        <v>71</v>
      </c>
      <c r="H40" s="26">
        <v>13</v>
      </c>
      <c r="I40" s="26">
        <v>20000</v>
      </c>
      <c r="J40" s="27">
        <v>0.05</v>
      </c>
      <c r="K40" s="26">
        <f t="shared" si="0"/>
        <v>247000</v>
      </c>
      <c r="L40" s="26" t="s">
        <v>186</v>
      </c>
      <c r="M40" s="28" t="s">
        <v>190</v>
      </c>
      <c r="N40" s="24"/>
      <c r="O40" s="24"/>
      <c r="P40" s="24"/>
    </row>
    <row r="41" spans="1:16" ht="15.75" customHeight="1" x14ac:dyDescent="0.2">
      <c r="A41" s="25">
        <v>45895</v>
      </c>
      <c r="B41" s="26" t="s">
        <v>105</v>
      </c>
      <c r="C41" s="26" t="s">
        <v>203</v>
      </c>
      <c r="D41" s="26" t="s">
        <v>73</v>
      </c>
      <c r="E41" s="26" t="s">
        <v>71</v>
      </c>
      <c r="F41" s="26" t="s">
        <v>81</v>
      </c>
      <c r="G41" s="26" t="s">
        <v>82</v>
      </c>
      <c r="H41" s="26">
        <v>17</v>
      </c>
      <c r="I41" s="26">
        <v>800</v>
      </c>
      <c r="J41" s="27">
        <v>0.05</v>
      </c>
      <c r="K41" s="26">
        <f t="shared" si="0"/>
        <v>12920</v>
      </c>
      <c r="L41" s="26" t="s">
        <v>186</v>
      </c>
      <c r="M41" s="28" t="s">
        <v>190</v>
      </c>
      <c r="N41" s="24"/>
      <c r="O41" s="24"/>
      <c r="P41" s="24"/>
    </row>
    <row r="42" spans="1:16" ht="15.75" customHeight="1" x14ac:dyDescent="0.2">
      <c r="A42" s="25">
        <v>45853</v>
      </c>
      <c r="B42" s="26" t="s">
        <v>68</v>
      </c>
      <c r="C42" s="26" t="s">
        <v>188</v>
      </c>
      <c r="D42" s="26" t="s">
        <v>191</v>
      </c>
      <c r="E42" s="26" t="s">
        <v>82</v>
      </c>
      <c r="F42" s="26" t="s">
        <v>81</v>
      </c>
      <c r="G42" s="26" t="s">
        <v>82</v>
      </c>
      <c r="H42" s="26">
        <v>6</v>
      </c>
      <c r="I42" s="26">
        <v>800</v>
      </c>
      <c r="J42" s="27">
        <v>0.1</v>
      </c>
      <c r="K42" s="26">
        <f t="shared" si="0"/>
        <v>4320</v>
      </c>
      <c r="L42" s="26" t="s">
        <v>189</v>
      </c>
      <c r="M42" s="28" t="s">
        <v>192</v>
      </c>
      <c r="N42" s="24"/>
      <c r="O42" s="24"/>
      <c r="P42" s="24"/>
    </row>
    <row r="43" spans="1:16" ht="15.75" customHeight="1" x14ac:dyDescent="0.2">
      <c r="A43" s="25">
        <v>45748</v>
      </c>
      <c r="B43" s="26" t="s">
        <v>90</v>
      </c>
      <c r="C43" s="26" t="s">
        <v>184</v>
      </c>
      <c r="D43" s="26" t="s">
        <v>191</v>
      </c>
      <c r="E43" s="26" t="s">
        <v>82</v>
      </c>
      <c r="F43" s="26" t="s">
        <v>81</v>
      </c>
      <c r="G43" s="26" t="s">
        <v>82</v>
      </c>
      <c r="H43" s="26">
        <v>16</v>
      </c>
      <c r="I43" s="26">
        <v>800</v>
      </c>
      <c r="J43" s="27">
        <v>0.1</v>
      </c>
      <c r="K43" s="26">
        <f t="shared" si="0"/>
        <v>11520</v>
      </c>
      <c r="L43" s="26" t="s">
        <v>189</v>
      </c>
      <c r="M43" s="28" t="s">
        <v>196</v>
      </c>
      <c r="N43" s="24"/>
      <c r="O43" s="24"/>
      <c r="P43" s="24"/>
    </row>
    <row r="44" spans="1:16" ht="15.75" customHeight="1" x14ac:dyDescent="0.2">
      <c r="A44" s="25">
        <v>45804</v>
      </c>
      <c r="B44" s="26" t="s">
        <v>76</v>
      </c>
      <c r="C44" s="26" t="s">
        <v>194</v>
      </c>
      <c r="D44" s="26" t="s">
        <v>73</v>
      </c>
      <c r="E44" s="26" t="s">
        <v>185</v>
      </c>
      <c r="F44" s="26" t="s">
        <v>70</v>
      </c>
      <c r="G44" s="26" t="s">
        <v>71</v>
      </c>
      <c r="H44" s="26">
        <v>17</v>
      </c>
      <c r="I44" s="26">
        <v>15000</v>
      </c>
      <c r="J44" s="27">
        <v>0</v>
      </c>
      <c r="K44" s="26">
        <f t="shared" si="0"/>
        <v>255000</v>
      </c>
      <c r="L44" s="26" t="s">
        <v>186</v>
      </c>
      <c r="M44" s="28" t="s">
        <v>190</v>
      </c>
      <c r="N44" s="24"/>
      <c r="O44" s="24"/>
      <c r="P44" s="24"/>
    </row>
    <row r="45" spans="1:16" ht="15.75" customHeight="1" x14ac:dyDescent="0.2">
      <c r="A45" s="25">
        <v>45771</v>
      </c>
      <c r="B45" s="26" t="s">
        <v>90</v>
      </c>
      <c r="C45" s="26" t="s">
        <v>201</v>
      </c>
      <c r="D45" s="26" t="s">
        <v>195</v>
      </c>
      <c r="E45" s="26" t="s">
        <v>71</v>
      </c>
      <c r="F45" s="26" t="s">
        <v>78</v>
      </c>
      <c r="G45" s="26" t="s">
        <v>71</v>
      </c>
      <c r="H45" s="26">
        <v>3</v>
      </c>
      <c r="I45" s="26">
        <v>30000</v>
      </c>
      <c r="J45" s="27">
        <v>0</v>
      </c>
      <c r="K45" s="26">
        <f t="shared" si="0"/>
        <v>90000</v>
      </c>
      <c r="L45" s="26" t="s">
        <v>189</v>
      </c>
      <c r="M45" s="28" t="s">
        <v>187</v>
      </c>
      <c r="N45" s="24"/>
      <c r="O45" s="24"/>
      <c r="P45" s="24"/>
    </row>
    <row r="46" spans="1:16" ht="15.75" customHeight="1" x14ac:dyDescent="0.2">
      <c r="A46" s="25">
        <v>45907</v>
      </c>
      <c r="B46" s="26" t="s">
        <v>90</v>
      </c>
      <c r="C46" s="26" t="s">
        <v>205</v>
      </c>
      <c r="D46" s="26" t="s">
        <v>195</v>
      </c>
      <c r="E46" s="26" t="s">
        <v>185</v>
      </c>
      <c r="F46" s="26" t="s">
        <v>78</v>
      </c>
      <c r="G46" s="26" t="s">
        <v>71</v>
      </c>
      <c r="H46" s="26">
        <v>9</v>
      </c>
      <c r="I46" s="26">
        <v>30000</v>
      </c>
      <c r="J46" s="27">
        <v>0.1</v>
      </c>
      <c r="K46" s="26">
        <f t="shared" si="0"/>
        <v>243000</v>
      </c>
      <c r="L46" s="26" t="s">
        <v>189</v>
      </c>
      <c r="M46" s="28" t="s">
        <v>187</v>
      </c>
      <c r="N46" s="24"/>
      <c r="O46" s="24"/>
      <c r="P46" s="24"/>
    </row>
    <row r="47" spans="1:16" ht="15.75" customHeight="1" x14ac:dyDescent="0.2">
      <c r="A47" s="25">
        <v>45834</v>
      </c>
      <c r="B47" s="26" t="s">
        <v>68</v>
      </c>
      <c r="C47" s="26" t="s">
        <v>200</v>
      </c>
      <c r="D47" s="26" t="s">
        <v>84</v>
      </c>
      <c r="E47" s="26" t="s">
        <v>71</v>
      </c>
      <c r="F47" s="26" t="s">
        <v>87</v>
      </c>
      <c r="G47" s="26" t="s">
        <v>82</v>
      </c>
      <c r="H47" s="26">
        <v>18</v>
      </c>
      <c r="I47" s="26">
        <v>1500</v>
      </c>
      <c r="J47" s="27">
        <v>0.1</v>
      </c>
      <c r="K47" s="26">
        <f t="shared" si="0"/>
        <v>24300</v>
      </c>
      <c r="L47" s="26" t="s">
        <v>186</v>
      </c>
      <c r="M47" s="28" t="s">
        <v>187</v>
      </c>
      <c r="N47" s="24"/>
      <c r="O47" s="24"/>
      <c r="P47" s="24"/>
    </row>
    <row r="48" spans="1:16" ht="15.75" customHeight="1" x14ac:dyDescent="0.2">
      <c r="A48" s="25">
        <v>45661</v>
      </c>
      <c r="B48" s="26" t="s">
        <v>90</v>
      </c>
      <c r="C48" s="26" t="s">
        <v>201</v>
      </c>
      <c r="D48" s="26" t="s">
        <v>80</v>
      </c>
      <c r="E48" s="26" t="s">
        <v>185</v>
      </c>
      <c r="F48" s="26" t="s">
        <v>92</v>
      </c>
      <c r="G48" s="26" t="s">
        <v>71</v>
      </c>
      <c r="H48" s="26">
        <v>19</v>
      </c>
      <c r="I48" s="26">
        <v>60000</v>
      </c>
      <c r="J48" s="27">
        <v>0.1</v>
      </c>
      <c r="K48" s="26">
        <f t="shared" si="0"/>
        <v>1026000</v>
      </c>
      <c r="L48" s="26" t="s">
        <v>189</v>
      </c>
      <c r="M48" s="28" t="s">
        <v>192</v>
      </c>
      <c r="N48" s="24"/>
      <c r="O48" s="24"/>
      <c r="P48" s="24"/>
    </row>
    <row r="49" spans="1:16" ht="15.75" customHeight="1" x14ac:dyDescent="0.2">
      <c r="A49" s="25">
        <v>45980</v>
      </c>
      <c r="B49" s="26" t="s">
        <v>68</v>
      </c>
      <c r="C49" s="26" t="s">
        <v>188</v>
      </c>
      <c r="D49" s="26" t="s">
        <v>84</v>
      </c>
      <c r="E49" s="26" t="s">
        <v>185</v>
      </c>
      <c r="F49" s="26" t="s">
        <v>92</v>
      </c>
      <c r="G49" s="26" t="s">
        <v>71</v>
      </c>
      <c r="H49" s="26">
        <v>12</v>
      </c>
      <c r="I49" s="26">
        <v>60000</v>
      </c>
      <c r="J49" s="27">
        <v>0.1</v>
      </c>
      <c r="K49" s="26">
        <f t="shared" si="0"/>
        <v>648000</v>
      </c>
      <c r="L49" s="26" t="s">
        <v>189</v>
      </c>
      <c r="M49" s="28" t="s">
        <v>196</v>
      </c>
      <c r="N49" s="24"/>
      <c r="O49" s="24"/>
      <c r="P49" s="24"/>
    </row>
    <row r="50" spans="1:16" ht="15.75" customHeight="1" x14ac:dyDescent="0.2">
      <c r="A50" s="25">
        <v>45994</v>
      </c>
      <c r="B50" s="26" t="s">
        <v>68</v>
      </c>
      <c r="C50" s="26" t="s">
        <v>202</v>
      </c>
      <c r="D50" s="26" t="s">
        <v>73</v>
      </c>
      <c r="E50" s="26" t="s">
        <v>82</v>
      </c>
      <c r="F50" s="26" t="s">
        <v>92</v>
      </c>
      <c r="G50" s="26" t="s">
        <v>71</v>
      </c>
      <c r="H50" s="26">
        <v>6</v>
      </c>
      <c r="I50" s="26">
        <v>60000</v>
      </c>
      <c r="J50" s="27">
        <v>0</v>
      </c>
      <c r="K50" s="26">
        <f t="shared" si="0"/>
        <v>360000</v>
      </c>
      <c r="L50" s="26" t="s">
        <v>189</v>
      </c>
      <c r="M50" s="28" t="s">
        <v>192</v>
      </c>
      <c r="N50" s="24"/>
      <c r="O50" s="24"/>
      <c r="P50" s="24"/>
    </row>
    <row r="51" spans="1:16" ht="15.75" customHeight="1" x14ac:dyDescent="0.2">
      <c r="A51" s="25">
        <v>45659</v>
      </c>
      <c r="B51" s="26" t="s">
        <v>76</v>
      </c>
      <c r="C51" s="26" t="s">
        <v>197</v>
      </c>
      <c r="D51" s="26" t="s">
        <v>73</v>
      </c>
      <c r="E51" s="26" t="s">
        <v>185</v>
      </c>
      <c r="F51" s="26" t="s">
        <v>70</v>
      </c>
      <c r="G51" s="26" t="s">
        <v>71</v>
      </c>
      <c r="H51" s="26">
        <v>5</v>
      </c>
      <c r="I51" s="26">
        <v>15000</v>
      </c>
      <c r="J51" s="27">
        <v>0.15</v>
      </c>
      <c r="K51" s="26">
        <f t="shared" si="0"/>
        <v>63750</v>
      </c>
      <c r="L51" s="26" t="s">
        <v>189</v>
      </c>
      <c r="M51" s="28" t="s">
        <v>192</v>
      </c>
      <c r="N51" s="24"/>
      <c r="O51" s="24"/>
      <c r="P51" s="24"/>
    </row>
    <row r="52" spans="1:16" ht="15.75" customHeight="1" x14ac:dyDescent="0.2">
      <c r="A52" s="25">
        <v>45849</v>
      </c>
      <c r="B52" s="26" t="s">
        <v>105</v>
      </c>
      <c r="C52" s="26" t="s">
        <v>198</v>
      </c>
      <c r="D52" s="26" t="s">
        <v>195</v>
      </c>
      <c r="E52" s="26" t="s">
        <v>185</v>
      </c>
      <c r="F52" s="26" t="s">
        <v>92</v>
      </c>
      <c r="G52" s="26" t="s">
        <v>71</v>
      </c>
      <c r="H52" s="26">
        <v>15</v>
      </c>
      <c r="I52" s="26">
        <v>60000</v>
      </c>
      <c r="J52" s="27">
        <v>0.05</v>
      </c>
      <c r="K52" s="26">
        <f t="shared" si="0"/>
        <v>855000</v>
      </c>
      <c r="L52" s="26" t="s">
        <v>189</v>
      </c>
      <c r="M52" s="28" t="s">
        <v>187</v>
      </c>
      <c r="N52" s="24"/>
      <c r="O52" s="24"/>
      <c r="P52" s="24"/>
    </row>
    <row r="53" spans="1:16" ht="15.75" customHeight="1" x14ac:dyDescent="0.2">
      <c r="A53" s="25">
        <v>45771</v>
      </c>
      <c r="B53" s="26" t="s">
        <v>76</v>
      </c>
      <c r="C53" s="26" t="s">
        <v>197</v>
      </c>
      <c r="D53" s="26" t="s">
        <v>191</v>
      </c>
      <c r="E53" s="26" t="s">
        <v>71</v>
      </c>
      <c r="F53" s="26" t="s">
        <v>199</v>
      </c>
      <c r="G53" s="26" t="s">
        <v>185</v>
      </c>
      <c r="H53" s="26">
        <v>6</v>
      </c>
      <c r="I53" s="26">
        <v>12000</v>
      </c>
      <c r="J53" s="27">
        <v>0.15</v>
      </c>
      <c r="K53" s="26">
        <f t="shared" si="0"/>
        <v>61200</v>
      </c>
      <c r="L53" s="26" t="s">
        <v>186</v>
      </c>
      <c r="M53" s="28" t="s">
        <v>196</v>
      </c>
      <c r="N53" s="24"/>
      <c r="O53" s="24"/>
      <c r="P53" s="24"/>
    </row>
    <row r="54" spans="1:16" ht="15.75" customHeight="1" x14ac:dyDescent="0.2">
      <c r="A54" s="25">
        <v>45872</v>
      </c>
      <c r="B54" s="26" t="s">
        <v>105</v>
      </c>
      <c r="C54" s="26" t="s">
        <v>193</v>
      </c>
      <c r="D54" s="26" t="s">
        <v>195</v>
      </c>
      <c r="E54" s="26" t="s">
        <v>71</v>
      </c>
      <c r="F54" s="26" t="s">
        <v>85</v>
      </c>
      <c r="G54" s="26" t="s">
        <v>82</v>
      </c>
      <c r="H54" s="26">
        <v>12</v>
      </c>
      <c r="I54" s="26">
        <v>2500</v>
      </c>
      <c r="J54" s="27">
        <v>0.05</v>
      </c>
      <c r="K54" s="26">
        <f t="shared" si="0"/>
        <v>28500</v>
      </c>
      <c r="L54" s="26" t="s">
        <v>186</v>
      </c>
      <c r="M54" s="28" t="s">
        <v>190</v>
      </c>
      <c r="N54" s="24"/>
      <c r="O54" s="24"/>
      <c r="P54" s="24"/>
    </row>
    <row r="55" spans="1:16" ht="15.75" customHeight="1" x14ac:dyDescent="0.2">
      <c r="A55" s="25">
        <v>45994</v>
      </c>
      <c r="B55" s="26" t="s">
        <v>76</v>
      </c>
      <c r="C55" s="26" t="s">
        <v>197</v>
      </c>
      <c r="D55" s="26" t="s">
        <v>95</v>
      </c>
      <c r="E55" s="26" t="s">
        <v>71</v>
      </c>
      <c r="F55" s="26" t="s">
        <v>199</v>
      </c>
      <c r="G55" s="26" t="s">
        <v>185</v>
      </c>
      <c r="H55" s="26">
        <v>3</v>
      </c>
      <c r="I55" s="26">
        <v>12000</v>
      </c>
      <c r="J55" s="27">
        <v>0.05</v>
      </c>
      <c r="K55" s="26">
        <f t="shared" si="0"/>
        <v>34200</v>
      </c>
      <c r="L55" s="26" t="s">
        <v>186</v>
      </c>
      <c r="M55" s="28" t="s">
        <v>196</v>
      </c>
      <c r="N55" s="24"/>
      <c r="O55" s="24"/>
      <c r="P55" s="24"/>
    </row>
    <row r="56" spans="1:16" ht="15.75" customHeight="1" x14ac:dyDescent="0.2">
      <c r="A56" s="25">
        <v>45663</v>
      </c>
      <c r="B56" s="26" t="s">
        <v>90</v>
      </c>
      <c r="C56" s="26" t="s">
        <v>201</v>
      </c>
      <c r="D56" s="26" t="s">
        <v>191</v>
      </c>
      <c r="E56" s="26" t="s">
        <v>71</v>
      </c>
      <c r="F56" s="26" t="s">
        <v>70</v>
      </c>
      <c r="G56" s="26" t="s">
        <v>71</v>
      </c>
      <c r="H56" s="26">
        <v>8</v>
      </c>
      <c r="I56" s="26">
        <v>15000</v>
      </c>
      <c r="J56" s="27">
        <v>0.15</v>
      </c>
      <c r="K56" s="26">
        <f t="shared" si="0"/>
        <v>102000</v>
      </c>
      <c r="L56" s="26" t="s">
        <v>186</v>
      </c>
      <c r="M56" s="28" t="s">
        <v>190</v>
      </c>
      <c r="N56" s="24"/>
      <c r="O56" s="24"/>
      <c r="P56" s="24"/>
    </row>
    <row r="57" spans="1:16" ht="15.75" customHeight="1" x14ac:dyDescent="0.2">
      <c r="A57" s="25">
        <v>45885</v>
      </c>
      <c r="B57" s="26" t="s">
        <v>90</v>
      </c>
      <c r="C57" s="26" t="s">
        <v>184</v>
      </c>
      <c r="D57" s="26" t="s">
        <v>69</v>
      </c>
      <c r="E57" s="26" t="s">
        <v>71</v>
      </c>
      <c r="F57" s="26" t="s">
        <v>74</v>
      </c>
      <c r="G57" s="26" t="s">
        <v>71</v>
      </c>
      <c r="H57" s="26">
        <v>10</v>
      </c>
      <c r="I57" s="26">
        <v>20000</v>
      </c>
      <c r="J57" s="27">
        <v>0.05</v>
      </c>
      <c r="K57" s="26">
        <f t="shared" si="0"/>
        <v>190000</v>
      </c>
      <c r="L57" s="26" t="s">
        <v>189</v>
      </c>
      <c r="M57" s="28" t="s">
        <v>187</v>
      </c>
      <c r="N57" s="24"/>
      <c r="O57" s="24"/>
      <c r="P57" s="24"/>
    </row>
    <row r="58" spans="1:16" ht="15.75" customHeight="1" x14ac:dyDescent="0.2">
      <c r="A58" s="25">
        <v>45857</v>
      </c>
      <c r="B58" s="26" t="s">
        <v>105</v>
      </c>
      <c r="C58" s="26" t="s">
        <v>198</v>
      </c>
      <c r="D58" s="26" t="s">
        <v>73</v>
      </c>
      <c r="E58" s="26" t="s">
        <v>71</v>
      </c>
      <c r="F58" s="26" t="s">
        <v>199</v>
      </c>
      <c r="G58" s="26" t="s">
        <v>185</v>
      </c>
      <c r="H58" s="26">
        <v>19</v>
      </c>
      <c r="I58" s="26">
        <v>12000</v>
      </c>
      <c r="J58" s="27">
        <v>0.15</v>
      </c>
      <c r="K58" s="26">
        <f t="shared" si="0"/>
        <v>193800</v>
      </c>
      <c r="L58" s="26" t="s">
        <v>189</v>
      </c>
      <c r="M58" s="28" t="s">
        <v>196</v>
      </c>
      <c r="N58" s="24"/>
      <c r="O58" s="24"/>
      <c r="P58" s="24"/>
    </row>
    <row r="59" spans="1:16" ht="15.75" customHeight="1" x14ac:dyDescent="0.2">
      <c r="A59" s="25">
        <v>46000</v>
      </c>
      <c r="B59" s="26" t="s">
        <v>68</v>
      </c>
      <c r="C59" s="26" t="s">
        <v>188</v>
      </c>
      <c r="D59" s="26" t="s">
        <v>80</v>
      </c>
      <c r="E59" s="26" t="s">
        <v>71</v>
      </c>
      <c r="F59" s="26" t="s">
        <v>92</v>
      </c>
      <c r="G59" s="26" t="s">
        <v>71</v>
      </c>
      <c r="H59" s="26">
        <v>11</v>
      </c>
      <c r="I59" s="26">
        <v>60000</v>
      </c>
      <c r="J59" s="27">
        <v>0.15</v>
      </c>
      <c r="K59" s="26">
        <f t="shared" si="0"/>
        <v>561000</v>
      </c>
      <c r="L59" s="26" t="s">
        <v>189</v>
      </c>
      <c r="M59" s="28" t="s">
        <v>190</v>
      </c>
      <c r="N59" s="24"/>
      <c r="O59" s="24"/>
      <c r="P59" s="24"/>
    </row>
    <row r="60" spans="1:16" ht="15.75" customHeight="1" x14ac:dyDescent="0.2">
      <c r="A60" s="25">
        <v>45749</v>
      </c>
      <c r="B60" s="26" t="s">
        <v>76</v>
      </c>
      <c r="C60" s="26" t="s">
        <v>197</v>
      </c>
      <c r="D60" s="26" t="s">
        <v>69</v>
      </c>
      <c r="E60" s="26" t="s">
        <v>82</v>
      </c>
      <c r="F60" s="26" t="s">
        <v>70</v>
      </c>
      <c r="G60" s="26" t="s">
        <v>71</v>
      </c>
      <c r="H60" s="26">
        <v>15</v>
      </c>
      <c r="I60" s="26">
        <v>15000</v>
      </c>
      <c r="J60" s="27">
        <v>0.1</v>
      </c>
      <c r="K60" s="26">
        <f t="shared" si="0"/>
        <v>202500</v>
      </c>
      <c r="L60" s="26" t="s">
        <v>186</v>
      </c>
      <c r="M60" s="28" t="s">
        <v>187</v>
      </c>
      <c r="N60" s="24"/>
      <c r="O60" s="24"/>
      <c r="P60" s="24"/>
    </row>
    <row r="61" spans="1:16" ht="15.75" customHeight="1" x14ac:dyDescent="0.2">
      <c r="A61" s="25">
        <v>45683</v>
      </c>
      <c r="B61" s="26" t="s">
        <v>68</v>
      </c>
      <c r="C61" s="26" t="s">
        <v>200</v>
      </c>
      <c r="D61" s="26" t="s">
        <v>77</v>
      </c>
      <c r="E61" s="26" t="s">
        <v>71</v>
      </c>
      <c r="F61" s="26" t="s">
        <v>81</v>
      </c>
      <c r="G61" s="26" t="s">
        <v>82</v>
      </c>
      <c r="H61" s="26">
        <v>4</v>
      </c>
      <c r="I61" s="26">
        <v>800</v>
      </c>
      <c r="J61" s="27">
        <v>0.05</v>
      </c>
      <c r="K61" s="26">
        <f t="shared" si="0"/>
        <v>3040</v>
      </c>
      <c r="L61" s="26" t="s">
        <v>189</v>
      </c>
      <c r="M61" s="28" t="s">
        <v>196</v>
      </c>
      <c r="N61" s="24"/>
      <c r="O61" s="24"/>
      <c r="P61" s="24"/>
    </row>
    <row r="62" spans="1:16" ht="15.75" customHeight="1" x14ac:dyDescent="0.2">
      <c r="A62" s="25">
        <v>45704</v>
      </c>
      <c r="B62" s="26" t="s">
        <v>105</v>
      </c>
      <c r="C62" s="26" t="s">
        <v>203</v>
      </c>
      <c r="D62" s="26" t="s">
        <v>73</v>
      </c>
      <c r="E62" s="26" t="s">
        <v>82</v>
      </c>
      <c r="F62" s="26" t="s">
        <v>78</v>
      </c>
      <c r="G62" s="26" t="s">
        <v>71</v>
      </c>
      <c r="H62" s="26">
        <v>2</v>
      </c>
      <c r="I62" s="26">
        <v>30000</v>
      </c>
      <c r="J62" s="27">
        <v>0.15</v>
      </c>
      <c r="K62" s="26">
        <f t="shared" si="0"/>
        <v>51000</v>
      </c>
      <c r="L62" s="26" t="s">
        <v>189</v>
      </c>
      <c r="M62" s="28" t="s">
        <v>190</v>
      </c>
      <c r="N62" s="24"/>
      <c r="O62" s="24"/>
      <c r="P62" s="24"/>
    </row>
    <row r="63" spans="1:16" ht="15.75" customHeight="1" x14ac:dyDescent="0.2">
      <c r="A63" s="25">
        <v>45797</v>
      </c>
      <c r="B63" s="26" t="s">
        <v>105</v>
      </c>
      <c r="C63" s="26" t="s">
        <v>198</v>
      </c>
      <c r="D63" s="26" t="s">
        <v>69</v>
      </c>
      <c r="E63" s="26" t="s">
        <v>185</v>
      </c>
      <c r="F63" s="26" t="s">
        <v>78</v>
      </c>
      <c r="G63" s="26" t="s">
        <v>71</v>
      </c>
      <c r="H63" s="26">
        <v>13</v>
      </c>
      <c r="I63" s="26">
        <v>30000</v>
      </c>
      <c r="J63" s="27">
        <v>0.05</v>
      </c>
      <c r="K63" s="26">
        <f t="shared" si="0"/>
        <v>370500</v>
      </c>
      <c r="L63" s="26" t="s">
        <v>186</v>
      </c>
      <c r="M63" s="28" t="s">
        <v>190</v>
      </c>
      <c r="N63" s="24"/>
      <c r="O63" s="24"/>
      <c r="P63" s="24"/>
    </row>
    <row r="64" spans="1:16" ht="15.75" customHeight="1" x14ac:dyDescent="0.2">
      <c r="A64" s="25">
        <v>45904</v>
      </c>
      <c r="B64" s="26" t="s">
        <v>76</v>
      </c>
      <c r="C64" s="26" t="s">
        <v>194</v>
      </c>
      <c r="D64" s="26" t="s">
        <v>84</v>
      </c>
      <c r="E64" s="26" t="s">
        <v>185</v>
      </c>
      <c r="F64" s="26" t="s">
        <v>85</v>
      </c>
      <c r="G64" s="26" t="s">
        <v>82</v>
      </c>
      <c r="H64" s="26">
        <v>8</v>
      </c>
      <c r="I64" s="26">
        <v>2500</v>
      </c>
      <c r="J64" s="27">
        <v>0.1</v>
      </c>
      <c r="K64" s="26">
        <f t="shared" si="0"/>
        <v>18000</v>
      </c>
      <c r="L64" s="26" t="s">
        <v>186</v>
      </c>
      <c r="M64" s="28" t="s">
        <v>192</v>
      </c>
      <c r="N64" s="24"/>
      <c r="O64" s="24"/>
      <c r="P64" s="24"/>
    </row>
    <row r="65" spans="1:16" ht="15.75" customHeight="1" x14ac:dyDescent="0.2">
      <c r="A65" s="25">
        <v>45988</v>
      </c>
      <c r="B65" s="26" t="s">
        <v>90</v>
      </c>
      <c r="C65" s="26" t="s">
        <v>184</v>
      </c>
      <c r="D65" s="26" t="s">
        <v>195</v>
      </c>
      <c r="E65" s="26" t="s">
        <v>71</v>
      </c>
      <c r="F65" s="26" t="s">
        <v>78</v>
      </c>
      <c r="G65" s="26" t="s">
        <v>71</v>
      </c>
      <c r="H65" s="26">
        <v>15</v>
      </c>
      <c r="I65" s="26">
        <v>30000</v>
      </c>
      <c r="J65" s="27">
        <v>0.1</v>
      </c>
      <c r="K65" s="26">
        <f t="shared" si="0"/>
        <v>405000</v>
      </c>
      <c r="L65" s="26" t="s">
        <v>189</v>
      </c>
      <c r="M65" s="28" t="s">
        <v>187</v>
      </c>
      <c r="N65" s="24"/>
      <c r="O65" s="24"/>
      <c r="P65" s="24"/>
    </row>
    <row r="66" spans="1:16" ht="15.75" customHeight="1" x14ac:dyDescent="0.2">
      <c r="A66" s="25">
        <v>45996</v>
      </c>
      <c r="B66" s="26" t="s">
        <v>76</v>
      </c>
      <c r="C66" s="26" t="s">
        <v>197</v>
      </c>
      <c r="D66" s="26" t="s">
        <v>195</v>
      </c>
      <c r="E66" s="26" t="s">
        <v>71</v>
      </c>
      <c r="F66" s="26" t="s">
        <v>70</v>
      </c>
      <c r="G66" s="26" t="s">
        <v>71</v>
      </c>
      <c r="H66" s="26">
        <v>13</v>
      </c>
      <c r="I66" s="26">
        <v>15000</v>
      </c>
      <c r="J66" s="27">
        <v>0.1</v>
      </c>
      <c r="K66" s="26">
        <f t="shared" si="0"/>
        <v>175500</v>
      </c>
      <c r="L66" s="26" t="s">
        <v>186</v>
      </c>
      <c r="M66" s="28" t="s">
        <v>187</v>
      </c>
      <c r="N66" s="24"/>
      <c r="O66" s="24"/>
      <c r="P66" s="24"/>
    </row>
    <row r="67" spans="1:16" ht="15.75" customHeight="1" x14ac:dyDescent="0.2">
      <c r="A67" s="25">
        <v>45939</v>
      </c>
      <c r="B67" s="26" t="s">
        <v>76</v>
      </c>
      <c r="C67" s="26" t="s">
        <v>194</v>
      </c>
      <c r="D67" s="26" t="s">
        <v>77</v>
      </c>
      <c r="E67" s="26" t="s">
        <v>185</v>
      </c>
      <c r="F67" s="26" t="s">
        <v>70</v>
      </c>
      <c r="G67" s="26" t="s">
        <v>71</v>
      </c>
      <c r="H67" s="26">
        <v>2</v>
      </c>
      <c r="I67" s="26">
        <v>15000</v>
      </c>
      <c r="J67" s="27">
        <v>0.1</v>
      </c>
      <c r="K67" s="26">
        <f t="shared" si="0"/>
        <v>27000</v>
      </c>
      <c r="L67" s="26" t="s">
        <v>186</v>
      </c>
      <c r="M67" s="28" t="s">
        <v>196</v>
      </c>
      <c r="N67" s="24"/>
      <c r="O67" s="24"/>
      <c r="P67" s="24"/>
    </row>
    <row r="68" spans="1:16" ht="15.75" customHeight="1" x14ac:dyDescent="0.2">
      <c r="A68" s="25">
        <v>45862</v>
      </c>
      <c r="B68" s="26" t="s">
        <v>68</v>
      </c>
      <c r="C68" s="26" t="s">
        <v>200</v>
      </c>
      <c r="D68" s="26" t="s">
        <v>84</v>
      </c>
      <c r="E68" s="26" t="s">
        <v>82</v>
      </c>
      <c r="F68" s="26" t="s">
        <v>87</v>
      </c>
      <c r="G68" s="26" t="s">
        <v>82</v>
      </c>
      <c r="H68" s="26">
        <v>3</v>
      </c>
      <c r="I68" s="26">
        <v>1500</v>
      </c>
      <c r="J68" s="27">
        <v>0.15</v>
      </c>
      <c r="K68" s="26">
        <f t="shared" si="0"/>
        <v>3825</v>
      </c>
      <c r="L68" s="26" t="s">
        <v>189</v>
      </c>
      <c r="M68" s="28" t="s">
        <v>190</v>
      </c>
      <c r="N68" s="24"/>
      <c r="O68" s="24"/>
      <c r="P68" s="24"/>
    </row>
    <row r="69" spans="1:16" ht="15.75" customHeight="1" x14ac:dyDescent="0.2">
      <c r="A69" s="25">
        <v>45857</v>
      </c>
      <c r="B69" s="26" t="s">
        <v>76</v>
      </c>
      <c r="C69" s="26" t="s">
        <v>197</v>
      </c>
      <c r="D69" s="26" t="s">
        <v>73</v>
      </c>
      <c r="E69" s="26" t="s">
        <v>82</v>
      </c>
      <c r="F69" s="26" t="s">
        <v>92</v>
      </c>
      <c r="G69" s="26" t="s">
        <v>71</v>
      </c>
      <c r="H69" s="26">
        <v>18</v>
      </c>
      <c r="I69" s="26">
        <v>60000</v>
      </c>
      <c r="J69" s="27">
        <v>0.1</v>
      </c>
      <c r="K69" s="26">
        <f t="shared" si="0"/>
        <v>972000</v>
      </c>
      <c r="L69" s="26" t="s">
        <v>186</v>
      </c>
      <c r="M69" s="28" t="s">
        <v>190</v>
      </c>
      <c r="N69" s="24"/>
      <c r="O69" s="24"/>
      <c r="P69" s="24"/>
    </row>
    <row r="70" spans="1:16" ht="15.75" customHeight="1" x14ac:dyDescent="0.2">
      <c r="A70" s="25">
        <v>45829</v>
      </c>
      <c r="B70" s="26" t="s">
        <v>90</v>
      </c>
      <c r="C70" s="26" t="s">
        <v>184</v>
      </c>
      <c r="D70" s="26" t="s">
        <v>69</v>
      </c>
      <c r="E70" s="26" t="s">
        <v>71</v>
      </c>
      <c r="F70" s="26" t="s">
        <v>74</v>
      </c>
      <c r="G70" s="26" t="s">
        <v>71</v>
      </c>
      <c r="H70" s="26">
        <v>12</v>
      </c>
      <c r="I70" s="26">
        <v>20000</v>
      </c>
      <c r="J70" s="27">
        <v>0.1</v>
      </c>
      <c r="K70" s="26">
        <f t="shared" si="0"/>
        <v>216000</v>
      </c>
      <c r="L70" s="26" t="s">
        <v>189</v>
      </c>
      <c r="M70" s="28" t="s">
        <v>192</v>
      </c>
      <c r="N70" s="24"/>
      <c r="O70" s="24"/>
      <c r="P70" s="24"/>
    </row>
    <row r="71" spans="1:16" ht="15.75" customHeight="1" x14ac:dyDescent="0.2">
      <c r="A71" s="25">
        <v>45831</v>
      </c>
      <c r="B71" s="26" t="s">
        <v>76</v>
      </c>
      <c r="C71" s="26" t="s">
        <v>194</v>
      </c>
      <c r="D71" s="26" t="s">
        <v>77</v>
      </c>
      <c r="E71" s="26" t="s">
        <v>71</v>
      </c>
      <c r="F71" s="26" t="s">
        <v>85</v>
      </c>
      <c r="G71" s="26" t="s">
        <v>82</v>
      </c>
      <c r="H71" s="26">
        <v>17</v>
      </c>
      <c r="I71" s="26">
        <v>2500</v>
      </c>
      <c r="J71" s="27">
        <v>0</v>
      </c>
      <c r="K71" s="26">
        <f t="shared" si="0"/>
        <v>42500</v>
      </c>
      <c r="L71" s="26" t="s">
        <v>189</v>
      </c>
      <c r="M71" s="28" t="s">
        <v>196</v>
      </c>
      <c r="N71" s="24"/>
      <c r="O71" s="24"/>
      <c r="P71" s="24"/>
    </row>
    <row r="72" spans="1:16" ht="15.75" customHeight="1" x14ac:dyDescent="0.2">
      <c r="A72" s="25">
        <v>45776</v>
      </c>
      <c r="B72" s="26" t="s">
        <v>76</v>
      </c>
      <c r="C72" s="26" t="s">
        <v>197</v>
      </c>
      <c r="D72" s="26" t="s">
        <v>69</v>
      </c>
      <c r="E72" s="26" t="s">
        <v>82</v>
      </c>
      <c r="F72" s="26" t="s">
        <v>92</v>
      </c>
      <c r="G72" s="26" t="s">
        <v>71</v>
      </c>
      <c r="H72" s="26">
        <v>5</v>
      </c>
      <c r="I72" s="26">
        <v>60000</v>
      </c>
      <c r="J72" s="27">
        <v>0.1</v>
      </c>
      <c r="K72" s="26">
        <f t="shared" si="0"/>
        <v>270000</v>
      </c>
      <c r="L72" s="26" t="s">
        <v>189</v>
      </c>
      <c r="M72" s="28" t="s">
        <v>192</v>
      </c>
      <c r="N72" s="24"/>
      <c r="O72" s="24"/>
      <c r="P72" s="24"/>
    </row>
    <row r="73" spans="1:16" ht="15.75" customHeight="1" x14ac:dyDescent="0.2">
      <c r="A73" s="25">
        <v>45701</v>
      </c>
      <c r="B73" s="26" t="s">
        <v>76</v>
      </c>
      <c r="C73" s="26" t="s">
        <v>194</v>
      </c>
      <c r="D73" s="26" t="s">
        <v>69</v>
      </c>
      <c r="E73" s="26" t="s">
        <v>185</v>
      </c>
      <c r="F73" s="26" t="s">
        <v>199</v>
      </c>
      <c r="G73" s="26" t="s">
        <v>185</v>
      </c>
      <c r="H73" s="26">
        <v>18</v>
      </c>
      <c r="I73" s="26">
        <v>12000</v>
      </c>
      <c r="J73" s="27">
        <v>0.05</v>
      </c>
      <c r="K73" s="26">
        <f t="shared" si="0"/>
        <v>205200</v>
      </c>
      <c r="L73" s="26" t="s">
        <v>186</v>
      </c>
      <c r="M73" s="28" t="s">
        <v>196</v>
      </c>
      <c r="N73" s="24"/>
      <c r="O73" s="24"/>
      <c r="P73" s="24"/>
    </row>
    <row r="74" spans="1:16" ht="15.75" customHeight="1" x14ac:dyDescent="0.2">
      <c r="A74" s="25">
        <v>45818</v>
      </c>
      <c r="B74" s="26" t="s">
        <v>90</v>
      </c>
      <c r="C74" s="26" t="s">
        <v>184</v>
      </c>
      <c r="D74" s="26" t="s">
        <v>195</v>
      </c>
      <c r="E74" s="26" t="s">
        <v>71</v>
      </c>
      <c r="F74" s="26" t="s">
        <v>78</v>
      </c>
      <c r="G74" s="26" t="s">
        <v>71</v>
      </c>
      <c r="H74" s="26">
        <v>7</v>
      </c>
      <c r="I74" s="26">
        <v>30000</v>
      </c>
      <c r="J74" s="27">
        <v>0.05</v>
      </c>
      <c r="K74" s="26">
        <f t="shared" si="0"/>
        <v>199500</v>
      </c>
      <c r="L74" s="26" t="s">
        <v>186</v>
      </c>
      <c r="M74" s="28" t="s">
        <v>190</v>
      </c>
      <c r="N74" s="24"/>
      <c r="O74" s="24"/>
      <c r="P74" s="24"/>
    </row>
    <row r="75" spans="1:16" ht="15.75" customHeight="1" x14ac:dyDescent="0.2">
      <c r="A75" s="25">
        <v>45797</v>
      </c>
      <c r="B75" s="26" t="s">
        <v>76</v>
      </c>
      <c r="C75" s="26" t="s">
        <v>194</v>
      </c>
      <c r="D75" s="26" t="s">
        <v>73</v>
      </c>
      <c r="E75" s="26" t="s">
        <v>185</v>
      </c>
      <c r="F75" s="26" t="s">
        <v>81</v>
      </c>
      <c r="G75" s="26" t="s">
        <v>82</v>
      </c>
      <c r="H75" s="26">
        <v>10</v>
      </c>
      <c r="I75" s="26">
        <v>800</v>
      </c>
      <c r="J75" s="27">
        <v>0.15</v>
      </c>
      <c r="K75" s="26">
        <f t="shared" si="0"/>
        <v>6800</v>
      </c>
      <c r="L75" s="26" t="s">
        <v>189</v>
      </c>
      <c r="M75" s="28" t="s">
        <v>196</v>
      </c>
      <c r="N75" s="24"/>
      <c r="O75" s="24"/>
      <c r="P75" s="24"/>
    </row>
    <row r="76" spans="1:16" ht="15.75" customHeight="1" x14ac:dyDescent="0.2">
      <c r="A76" s="25">
        <v>45665</v>
      </c>
      <c r="B76" s="26" t="s">
        <v>76</v>
      </c>
      <c r="C76" s="26" t="s">
        <v>197</v>
      </c>
      <c r="D76" s="26" t="s">
        <v>84</v>
      </c>
      <c r="E76" s="26" t="s">
        <v>71</v>
      </c>
      <c r="F76" s="26" t="s">
        <v>81</v>
      </c>
      <c r="G76" s="26" t="s">
        <v>82</v>
      </c>
      <c r="H76" s="26">
        <v>19</v>
      </c>
      <c r="I76" s="26">
        <v>800</v>
      </c>
      <c r="J76" s="27">
        <v>0.05</v>
      </c>
      <c r="K76" s="26">
        <f t="shared" si="0"/>
        <v>14440</v>
      </c>
      <c r="L76" s="26" t="s">
        <v>186</v>
      </c>
      <c r="M76" s="28" t="s">
        <v>190</v>
      </c>
      <c r="N76" s="24"/>
      <c r="O76" s="24"/>
      <c r="P76" s="24"/>
    </row>
    <row r="77" spans="1:16" ht="15.75" customHeight="1" x14ac:dyDescent="0.2">
      <c r="A77" s="25">
        <v>45747</v>
      </c>
      <c r="B77" s="26" t="s">
        <v>76</v>
      </c>
      <c r="C77" s="26" t="s">
        <v>204</v>
      </c>
      <c r="D77" s="26" t="s">
        <v>95</v>
      </c>
      <c r="E77" s="26" t="s">
        <v>185</v>
      </c>
      <c r="F77" s="26" t="s">
        <v>199</v>
      </c>
      <c r="G77" s="26" t="s">
        <v>185</v>
      </c>
      <c r="H77" s="26">
        <v>14</v>
      </c>
      <c r="I77" s="26">
        <v>12000</v>
      </c>
      <c r="J77" s="27">
        <v>0.05</v>
      </c>
      <c r="K77" s="26">
        <f t="shared" si="0"/>
        <v>159600</v>
      </c>
      <c r="L77" s="26" t="s">
        <v>189</v>
      </c>
      <c r="M77" s="28" t="s">
        <v>192</v>
      </c>
      <c r="N77" s="24"/>
      <c r="O77" s="24"/>
      <c r="P77" s="24"/>
    </row>
    <row r="78" spans="1:16" ht="15.75" customHeight="1" x14ac:dyDescent="0.2">
      <c r="A78" s="25">
        <v>45718</v>
      </c>
      <c r="B78" s="26" t="s">
        <v>68</v>
      </c>
      <c r="C78" s="26" t="s">
        <v>202</v>
      </c>
      <c r="D78" s="26" t="s">
        <v>80</v>
      </c>
      <c r="E78" s="26" t="s">
        <v>82</v>
      </c>
      <c r="F78" s="26" t="s">
        <v>92</v>
      </c>
      <c r="G78" s="26" t="s">
        <v>71</v>
      </c>
      <c r="H78" s="26">
        <v>20</v>
      </c>
      <c r="I78" s="26">
        <v>60000</v>
      </c>
      <c r="J78" s="27">
        <v>0</v>
      </c>
      <c r="K78" s="26">
        <f t="shared" si="0"/>
        <v>1200000</v>
      </c>
      <c r="L78" s="26" t="s">
        <v>189</v>
      </c>
      <c r="M78" s="28" t="s">
        <v>187</v>
      </c>
      <c r="N78" s="24"/>
      <c r="O78" s="24"/>
      <c r="P78" s="24"/>
    </row>
    <row r="79" spans="1:16" ht="15.75" customHeight="1" x14ac:dyDescent="0.2">
      <c r="A79" s="25">
        <v>45725</v>
      </c>
      <c r="B79" s="26" t="s">
        <v>76</v>
      </c>
      <c r="C79" s="26" t="s">
        <v>197</v>
      </c>
      <c r="D79" s="26" t="s">
        <v>69</v>
      </c>
      <c r="E79" s="26" t="s">
        <v>82</v>
      </c>
      <c r="F79" s="26" t="s">
        <v>85</v>
      </c>
      <c r="G79" s="26" t="s">
        <v>82</v>
      </c>
      <c r="H79" s="26">
        <v>3</v>
      </c>
      <c r="I79" s="26">
        <v>2500</v>
      </c>
      <c r="J79" s="27">
        <v>0.15</v>
      </c>
      <c r="K79" s="26">
        <f t="shared" si="0"/>
        <v>6375</v>
      </c>
      <c r="L79" s="26" t="s">
        <v>189</v>
      </c>
      <c r="M79" s="28" t="s">
        <v>187</v>
      </c>
      <c r="N79" s="24"/>
      <c r="O79" s="24"/>
      <c r="P79" s="24"/>
    </row>
    <row r="80" spans="1:16" ht="15.75" customHeight="1" x14ac:dyDescent="0.2">
      <c r="A80" s="25">
        <v>46018</v>
      </c>
      <c r="B80" s="26" t="s">
        <v>105</v>
      </c>
      <c r="C80" s="26" t="s">
        <v>198</v>
      </c>
      <c r="D80" s="26" t="s">
        <v>84</v>
      </c>
      <c r="E80" s="26" t="s">
        <v>185</v>
      </c>
      <c r="F80" s="26" t="s">
        <v>87</v>
      </c>
      <c r="G80" s="26" t="s">
        <v>82</v>
      </c>
      <c r="H80" s="26">
        <v>8</v>
      </c>
      <c r="I80" s="26">
        <v>1500</v>
      </c>
      <c r="J80" s="27">
        <v>0.1</v>
      </c>
      <c r="K80" s="26">
        <f t="shared" si="0"/>
        <v>10800</v>
      </c>
      <c r="L80" s="26" t="s">
        <v>186</v>
      </c>
      <c r="M80" s="28" t="s">
        <v>192</v>
      </c>
      <c r="N80" s="24"/>
    </row>
    <row r="81" spans="1:14" ht="15.75" customHeight="1" x14ac:dyDescent="0.2">
      <c r="A81" s="25">
        <v>45684</v>
      </c>
      <c r="B81" s="26" t="s">
        <v>76</v>
      </c>
      <c r="C81" s="26" t="s">
        <v>204</v>
      </c>
      <c r="D81" s="26" t="s">
        <v>195</v>
      </c>
      <c r="E81" s="26" t="s">
        <v>82</v>
      </c>
      <c r="F81" s="26" t="s">
        <v>87</v>
      </c>
      <c r="G81" s="26" t="s">
        <v>82</v>
      </c>
      <c r="H81" s="26">
        <v>8</v>
      </c>
      <c r="I81" s="26">
        <v>1500</v>
      </c>
      <c r="J81" s="27">
        <v>0</v>
      </c>
      <c r="K81" s="26">
        <f t="shared" si="0"/>
        <v>12000</v>
      </c>
      <c r="L81" s="26" t="s">
        <v>189</v>
      </c>
      <c r="M81" s="28" t="s">
        <v>192</v>
      </c>
      <c r="N81" s="24"/>
    </row>
    <row r="82" spans="1:14" ht="15.75" customHeight="1" x14ac:dyDescent="0.2">
      <c r="A82" s="25">
        <v>45883</v>
      </c>
      <c r="B82" s="26" t="s">
        <v>90</v>
      </c>
      <c r="C82" s="26" t="s">
        <v>184</v>
      </c>
      <c r="D82" s="26" t="s">
        <v>77</v>
      </c>
      <c r="E82" s="26" t="s">
        <v>185</v>
      </c>
      <c r="F82" s="26" t="s">
        <v>199</v>
      </c>
      <c r="G82" s="26" t="s">
        <v>185</v>
      </c>
      <c r="H82" s="26">
        <v>13</v>
      </c>
      <c r="I82" s="26">
        <v>12000</v>
      </c>
      <c r="J82" s="27">
        <v>0.15</v>
      </c>
      <c r="K82" s="26">
        <f t="shared" si="0"/>
        <v>132600</v>
      </c>
      <c r="L82" s="26" t="s">
        <v>186</v>
      </c>
      <c r="M82" s="28" t="s">
        <v>187</v>
      </c>
      <c r="N82" s="24"/>
    </row>
    <row r="83" spans="1:14" ht="15.75" customHeight="1" x14ac:dyDescent="0.2">
      <c r="A83" s="25">
        <v>45870</v>
      </c>
      <c r="B83" s="26" t="s">
        <v>90</v>
      </c>
      <c r="C83" s="26" t="s">
        <v>184</v>
      </c>
      <c r="D83" s="26" t="s">
        <v>191</v>
      </c>
      <c r="E83" s="26" t="s">
        <v>71</v>
      </c>
      <c r="F83" s="26" t="s">
        <v>85</v>
      </c>
      <c r="G83" s="26" t="s">
        <v>82</v>
      </c>
      <c r="H83" s="26">
        <v>18</v>
      </c>
      <c r="I83" s="26">
        <v>2500</v>
      </c>
      <c r="J83" s="27">
        <v>0.15</v>
      </c>
      <c r="K83" s="26">
        <f t="shared" si="0"/>
        <v>38250</v>
      </c>
      <c r="L83" s="26" t="s">
        <v>189</v>
      </c>
      <c r="M83" s="28" t="s">
        <v>192</v>
      </c>
      <c r="N83" s="24"/>
    </row>
    <row r="84" spans="1:14" ht="15.75" customHeight="1" x14ac:dyDescent="0.2">
      <c r="A84" s="25">
        <v>45944</v>
      </c>
      <c r="B84" s="26" t="s">
        <v>76</v>
      </c>
      <c r="C84" s="26" t="s">
        <v>194</v>
      </c>
      <c r="D84" s="26" t="s">
        <v>191</v>
      </c>
      <c r="E84" s="26" t="s">
        <v>71</v>
      </c>
      <c r="F84" s="26" t="s">
        <v>78</v>
      </c>
      <c r="G84" s="26" t="s">
        <v>71</v>
      </c>
      <c r="H84" s="26">
        <v>13</v>
      </c>
      <c r="I84" s="26">
        <v>30000</v>
      </c>
      <c r="J84" s="27">
        <v>0</v>
      </c>
      <c r="K84" s="26">
        <f t="shared" si="0"/>
        <v>390000</v>
      </c>
      <c r="L84" s="26" t="s">
        <v>189</v>
      </c>
      <c r="M84" s="28" t="s">
        <v>187</v>
      </c>
      <c r="N84" s="24"/>
    </row>
    <row r="85" spans="1:14" ht="15.75" customHeight="1" x14ac:dyDescent="0.2">
      <c r="A85" s="25">
        <v>45780</v>
      </c>
      <c r="B85" s="26" t="s">
        <v>68</v>
      </c>
      <c r="C85" s="26" t="s">
        <v>200</v>
      </c>
      <c r="D85" s="26" t="s">
        <v>84</v>
      </c>
      <c r="E85" s="26" t="s">
        <v>185</v>
      </c>
      <c r="F85" s="26" t="s">
        <v>92</v>
      </c>
      <c r="G85" s="26" t="s">
        <v>71</v>
      </c>
      <c r="H85" s="26">
        <v>11</v>
      </c>
      <c r="I85" s="26">
        <v>60000</v>
      </c>
      <c r="J85" s="27">
        <v>0</v>
      </c>
      <c r="K85" s="26">
        <f t="shared" si="0"/>
        <v>660000</v>
      </c>
      <c r="L85" s="26" t="s">
        <v>186</v>
      </c>
      <c r="M85" s="28" t="s">
        <v>192</v>
      </c>
      <c r="N85" s="24"/>
    </row>
    <row r="86" spans="1:14" ht="15.75" customHeight="1" x14ac:dyDescent="0.2">
      <c r="A86" s="25">
        <v>45759</v>
      </c>
      <c r="B86" s="26" t="s">
        <v>105</v>
      </c>
      <c r="C86" s="26" t="s">
        <v>203</v>
      </c>
      <c r="D86" s="26" t="s">
        <v>191</v>
      </c>
      <c r="E86" s="26" t="s">
        <v>82</v>
      </c>
      <c r="F86" s="26" t="s">
        <v>81</v>
      </c>
      <c r="G86" s="26" t="s">
        <v>82</v>
      </c>
      <c r="H86" s="26">
        <v>4</v>
      </c>
      <c r="I86" s="26">
        <v>800</v>
      </c>
      <c r="J86" s="27">
        <v>0.1</v>
      </c>
      <c r="K86" s="26">
        <f t="shared" si="0"/>
        <v>2880</v>
      </c>
      <c r="L86" s="26" t="s">
        <v>186</v>
      </c>
      <c r="M86" s="28" t="s">
        <v>196</v>
      </c>
      <c r="N86" s="24"/>
    </row>
    <row r="87" spans="1:14" ht="15.75" customHeight="1" x14ac:dyDescent="0.2">
      <c r="A87" s="25">
        <v>45994</v>
      </c>
      <c r="B87" s="26" t="s">
        <v>105</v>
      </c>
      <c r="C87" s="26" t="s">
        <v>203</v>
      </c>
      <c r="D87" s="26" t="s">
        <v>80</v>
      </c>
      <c r="E87" s="26" t="s">
        <v>82</v>
      </c>
      <c r="F87" s="26" t="s">
        <v>74</v>
      </c>
      <c r="G87" s="26" t="s">
        <v>71</v>
      </c>
      <c r="H87" s="26">
        <v>2</v>
      </c>
      <c r="I87" s="26">
        <v>20000</v>
      </c>
      <c r="J87" s="27">
        <v>0</v>
      </c>
      <c r="K87" s="26">
        <f t="shared" si="0"/>
        <v>40000</v>
      </c>
      <c r="L87" s="26" t="s">
        <v>189</v>
      </c>
      <c r="M87" s="28" t="s">
        <v>190</v>
      </c>
      <c r="N87" s="24"/>
    </row>
    <row r="88" spans="1:14" ht="15.75" customHeight="1" x14ac:dyDescent="0.2">
      <c r="A88" s="25">
        <v>46015</v>
      </c>
      <c r="B88" s="26" t="s">
        <v>76</v>
      </c>
      <c r="C88" s="26" t="s">
        <v>194</v>
      </c>
      <c r="D88" s="26" t="s">
        <v>80</v>
      </c>
      <c r="E88" s="26" t="s">
        <v>82</v>
      </c>
      <c r="F88" s="26" t="s">
        <v>78</v>
      </c>
      <c r="G88" s="26" t="s">
        <v>71</v>
      </c>
      <c r="H88" s="26">
        <v>19</v>
      </c>
      <c r="I88" s="26">
        <v>30000</v>
      </c>
      <c r="J88" s="27">
        <v>0</v>
      </c>
      <c r="K88" s="26">
        <f t="shared" si="0"/>
        <v>570000</v>
      </c>
      <c r="L88" s="26" t="s">
        <v>189</v>
      </c>
      <c r="M88" s="28" t="s">
        <v>192</v>
      </c>
      <c r="N88" s="24"/>
    </row>
    <row r="89" spans="1:14" ht="15.75" customHeight="1" x14ac:dyDescent="0.2">
      <c r="A89" s="25">
        <v>45812</v>
      </c>
      <c r="B89" s="26" t="s">
        <v>105</v>
      </c>
      <c r="C89" s="26" t="s">
        <v>193</v>
      </c>
      <c r="D89" s="26" t="s">
        <v>95</v>
      </c>
      <c r="E89" s="26" t="s">
        <v>185</v>
      </c>
      <c r="F89" s="26" t="s">
        <v>199</v>
      </c>
      <c r="G89" s="26" t="s">
        <v>185</v>
      </c>
      <c r="H89" s="26">
        <v>15</v>
      </c>
      <c r="I89" s="26">
        <v>12000</v>
      </c>
      <c r="J89" s="27">
        <v>0</v>
      </c>
      <c r="K89" s="26">
        <f t="shared" si="0"/>
        <v>180000</v>
      </c>
      <c r="L89" s="26" t="s">
        <v>186</v>
      </c>
      <c r="M89" s="28" t="s">
        <v>192</v>
      </c>
      <c r="N89" s="24"/>
    </row>
    <row r="90" spans="1:14" ht="15.75" customHeight="1" x14ac:dyDescent="0.2">
      <c r="A90" s="25">
        <v>45708</v>
      </c>
      <c r="B90" s="26" t="s">
        <v>105</v>
      </c>
      <c r="C90" s="26" t="s">
        <v>198</v>
      </c>
      <c r="D90" s="26" t="s">
        <v>95</v>
      </c>
      <c r="E90" s="26" t="s">
        <v>82</v>
      </c>
      <c r="F90" s="26" t="s">
        <v>74</v>
      </c>
      <c r="G90" s="26" t="s">
        <v>71</v>
      </c>
      <c r="H90" s="26">
        <v>16</v>
      </c>
      <c r="I90" s="26">
        <v>20000</v>
      </c>
      <c r="J90" s="27">
        <v>0.15</v>
      </c>
      <c r="K90" s="26">
        <f t="shared" si="0"/>
        <v>272000</v>
      </c>
      <c r="L90" s="26" t="s">
        <v>189</v>
      </c>
      <c r="M90" s="28" t="s">
        <v>192</v>
      </c>
      <c r="N90" s="24"/>
    </row>
    <row r="91" spans="1:14" ht="15.75" customHeight="1" x14ac:dyDescent="0.2">
      <c r="A91" s="25">
        <v>45939</v>
      </c>
      <c r="B91" s="26" t="s">
        <v>90</v>
      </c>
      <c r="C91" s="26" t="s">
        <v>201</v>
      </c>
      <c r="D91" s="26" t="s">
        <v>80</v>
      </c>
      <c r="E91" s="26" t="s">
        <v>71</v>
      </c>
      <c r="F91" s="26" t="s">
        <v>87</v>
      </c>
      <c r="G91" s="26" t="s">
        <v>82</v>
      </c>
      <c r="H91" s="26">
        <v>19</v>
      </c>
      <c r="I91" s="26">
        <v>1500</v>
      </c>
      <c r="J91" s="27">
        <v>0.1</v>
      </c>
      <c r="K91" s="26">
        <f t="shared" si="0"/>
        <v>25650</v>
      </c>
      <c r="L91" s="26" t="s">
        <v>189</v>
      </c>
      <c r="M91" s="28" t="s">
        <v>196</v>
      </c>
      <c r="N91" s="24"/>
    </row>
    <row r="92" spans="1:14" ht="15.75" customHeight="1" x14ac:dyDescent="0.2">
      <c r="A92" s="25">
        <v>45775</v>
      </c>
      <c r="B92" s="26" t="s">
        <v>76</v>
      </c>
      <c r="C92" s="26" t="s">
        <v>197</v>
      </c>
      <c r="D92" s="26" t="s">
        <v>69</v>
      </c>
      <c r="E92" s="26" t="s">
        <v>82</v>
      </c>
      <c r="F92" s="26" t="s">
        <v>78</v>
      </c>
      <c r="G92" s="26" t="s">
        <v>71</v>
      </c>
      <c r="H92" s="26">
        <v>10</v>
      </c>
      <c r="I92" s="26">
        <v>30000</v>
      </c>
      <c r="J92" s="27">
        <v>0.05</v>
      </c>
      <c r="K92" s="26">
        <f t="shared" si="0"/>
        <v>285000</v>
      </c>
      <c r="L92" s="26" t="s">
        <v>186</v>
      </c>
      <c r="M92" s="28" t="s">
        <v>196</v>
      </c>
      <c r="N92" s="24"/>
    </row>
    <row r="93" spans="1:14" ht="15.75" customHeight="1" x14ac:dyDescent="0.2">
      <c r="A93" s="25">
        <v>45807</v>
      </c>
      <c r="B93" s="26" t="s">
        <v>90</v>
      </c>
      <c r="C93" s="26" t="s">
        <v>205</v>
      </c>
      <c r="D93" s="26" t="s">
        <v>73</v>
      </c>
      <c r="E93" s="26" t="s">
        <v>185</v>
      </c>
      <c r="F93" s="26" t="s">
        <v>70</v>
      </c>
      <c r="G93" s="26" t="s">
        <v>71</v>
      </c>
      <c r="H93" s="26">
        <v>19</v>
      </c>
      <c r="I93" s="26">
        <v>15000</v>
      </c>
      <c r="J93" s="27">
        <v>0.15</v>
      </c>
      <c r="K93" s="26">
        <f t="shared" si="0"/>
        <v>242250</v>
      </c>
      <c r="L93" s="26" t="s">
        <v>189</v>
      </c>
      <c r="M93" s="28" t="s">
        <v>190</v>
      </c>
      <c r="N93" s="24"/>
    </row>
    <row r="94" spans="1:14" ht="15.75" customHeight="1" x14ac:dyDescent="0.2">
      <c r="A94" s="25">
        <v>45897</v>
      </c>
      <c r="B94" s="26" t="s">
        <v>76</v>
      </c>
      <c r="C94" s="26" t="s">
        <v>204</v>
      </c>
      <c r="D94" s="26" t="s">
        <v>191</v>
      </c>
      <c r="E94" s="26" t="s">
        <v>71</v>
      </c>
      <c r="F94" s="26" t="s">
        <v>81</v>
      </c>
      <c r="G94" s="26" t="s">
        <v>82</v>
      </c>
      <c r="H94" s="26">
        <v>5</v>
      </c>
      <c r="I94" s="26">
        <v>800</v>
      </c>
      <c r="J94" s="27">
        <v>0</v>
      </c>
      <c r="K94" s="26">
        <f t="shared" si="0"/>
        <v>4000</v>
      </c>
      <c r="L94" s="26" t="s">
        <v>189</v>
      </c>
      <c r="M94" s="28" t="s">
        <v>190</v>
      </c>
      <c r="N94" s="24"/>
    </row>
    <row r="95" spans="1:14" ht="15.75" customHeight="1" x14ac:dyDescent="0.2">
      <c r="A95" s="25">
        <v>45695</v>
      </c>
      <c r="B95" s="26" t="s">
        <v>105</v>
      </c>
      <c r="C95" s="26" t="s">
        <v>193</v>
      </c>
      <c r="D95" s="26" t="s">
        <v>80</v>
      </c>
      <c r="E95" s="26" t="s">
        <v>71</v>
      </c>
      <c r="F95" s="26" t="s">
        <v>199</v>
      </c>
      <c r="G95" s="26" t="s">
        <v>185</v>
      </c>
      <c r="H95" s="26">
        <v>13</v>
      </c>
      <c r="I95" s="26">
        <v>12000</v>
      </c>
      <c r="J95" s="27">
        <v>0.05</v>
      </c>
      <c r="K95" s="26">
        <f t="shared" si="0"/>
        <v>148200</v>
      </c>
      <c r="L95" s="26" t="s">
        <v>186</v>
      </c>
      <c r="M95" s="28" t="s">
        <v>187</v>
      </c>
      <c r="N95" s="24"/>
    </row>
    <row r="96" spans="1:14" ht="15.75" customHeight="1" x14ac:dyDescent="0.2">
      <c r="A96" s="25">
        <v>45701</v>
      </c>
      <c r="B96" s="26" t="s">
        <v>90</v>
      </c>
      <c r="C96" s="26" t="s">
        <v>184</v>
      </c>
      <c r="D96" s="26" t="s">
        <v>80</v>
      </c>
      <c r="E96" s="26" t="s">
        <v>71</v>
      </c>
      <c r="F96" s="26" t="s">
        <v>87</v>
      </c>
      <c r="G96" s="26" t="s">
        <v>82</v>
      </c>
      <c r="H96" s="26">
        <v>3</v>
      </c>
      <c r="I96" s="26">
        <v>1500</v>
      </c>
      <c r="J96" s="27">
        <v>0</v>
      </c>
      <c r="K96" s="26">
        <f t="shared" si="0"/>
        <v>4500</v>
      </c>
      <c r="L96" s="26" t="s">
        <v>189</v>
      </c>
      <c r="M96" s="28" t="s">
        <v>196</v>
      </c>
      <c r="N96" s="24"/>
    </row>
    <row r="97" spans="1:14" ht="15.75" customHeight="1" x14ac:dyDescent="0.2">
      <c r="A97" s="25">
        <v>45918</v>
      </c>
      <c r="B97" s="26" t="s">
        <v>68</v>
      </c>
      <c r="C97" s="26" t="s">
        <v>188</v>
      </c>
      <c r="D97" s="26" t="s">
        <v>195</v>
      </c>
      <c r="E97" s="26" t="s">
        <v>82</v>
      </c>
      <c r="F97" s="26" t="s">
        <v>199</v>
      </c>
      <c r="G97" s="26" t="s">
        <v>185</v>
      </c>
      <c r="H97" s="26">
        <v>9</v>
      </c>
      <c r="I97" s="26">
        <v>12000</v>
      </c>
      <c r="J97" s="27">
        <v>0.05</v>
      </c>
      <c r="K97" s="26">
        <f t="shared" si="0"/>
        <v>102600</v>
      </c>
      <c r="L97" s="26" t="s">
        <v>189</v>
      </c>
      <c r="M97" s="28" t="s">
        <v>192</v>
      </c>
      <c r="N97" s="24"/>
    </row>
    <row r="98" spans="1:14" ht="15.75" customHeight="1" x14ac:dyDescent="0.2">
      <c r="A98" s="25">
        <v>45845</v>
      </c>
      <c r="B98" s="26" t="s">
        <v>68</v>
      </c>
      <c r="C98" s="26" t="s">
        <v>200</v>
      </c>
      <c r="D98" s="26" t="s">
        <v>73</v>
      </c>
      <c r="E98" s="26" t="s">
        <v>82</v>
      </c>
      <c r="F98" s="26" t="s">
        <v>74</v>
      </c>
      <c r="G98" s="26" t="s">
        <v>71</v>
      </c>
      <c r="H98" s="26">
        <v>10</v>
      </c>
      <c r="I98" s="26">
        <v>20000</v>
      </c>
      <c r="J98" s="27">
        <v>0</v>
      </c>
      <c r="K98" s="26">
        <f t="shared" si="0"/>
        <v>200000</v>
      </c>
      <c r="L98" s="26" t="s">
        <v>186</v>
      </c>
      <c r="M98" s="28" t="s">
        <v>190</v>
      </c>
      <c r="N98" s="24"/>
    </row>
    <row r="99" spans="1:14" ht="15.75" customHeight="1" x14ac:dyDescent="0.2">
      <c r="A99" s="25">
        <v>45861</v>
      </c>
      <c r="B99" s="26" t="s">
        <v>90</v>
      </c>
      <c r="C99" s="26" t="s">
        <v>184</v>
      </c>
      <c r="D99" s="26" t="s">
        <v>69</v>
      </c>
      <c r="E99" s="26" t="s">
        <v>185</v>
      </c>
      <c r="F99" s="26" t="s">
        <v>78</v>
      </c>
      <c r="G99" s="26" t="s">
        <v>71</v>
      </c>
      <c r="H99" s="26">
        <v>4</v>
      </c>
      <c r="I99" s="26">
        <v>30000</v>
      </c>
      <c r="J99" s="27">
        <v>0</v>
      </c>
      <c r="K99" s="26">
        <f t="shared" si="0"/>
        <v>120000</v>
      </c>
      <c r="L99" s="26" t="s">
        <v>186</v>
      </c>
      <c r="M99" s="28" t="s">
        <v>196</v>
      </c>
      <c r="N99" s="24"/>
    </row>
    <row r="100" spans="1:14" ht="15.75" customHeight="1" x14ac:dyDescent="0.2">
      <c r="A100" s="25">
        <v>45933</v>
      </c>
      <c r="B100" s="26" t="s">
        <v>90</v>
      </c>
      <c r="C100" s="26" t="s">
        <v>205</v>
      </c>
      <c r="D100" s="26" t="s">
        <v>195</v>
      </c>
      <c r="E100" s="26" t="s">
        <v>185</v>
      </c>
      <c r="F100" s="26" t="s">
        <v>81</v>
      </c>
      <c r="G100" s="26" t="s">
        <v>82</v>
      </c>
      <c r="H100" s="26">
        <v>2</v>
      </c>
      <c r="I100" s="26">
        <v>800</v>
      </c>
      <c r="J100" s="27">
        <v>0</v>
      </c>
      <c r="K100" s="26">
        <f t="shared" si="0"/>
        <v>1600</v>
      </c>
      <c r="L100" s="26" t="s">
        <v>186</v>
      </c>
      <c r="M100" s="28" t="s">
        <v>190</v>
      </c>
      <c r="N100" s="24"/>
    </row>
    <row r="101" spans="1:14" ht="15.75" customHeight="1" x14ac:dyDescent="0.2">
      <c r="A101" s="30">
        <v>45966</v>
      </c>
      <c r="B101" s="31" t="s">
        <v>76</v>
      </c>
      <c r="C101" s="31" t="s">
        <v>197</v>
      </c>
      <c r="D101" s="31" t="s">
        <v>191</v>
      </c>
      <c r="E101" s="31" t="s">
        <v>71</v>
      </c>
      <c r="F101" s="31" t="s">
        <v>74</v>
      </c>
      <c r="G101" s="31" t="s">
        <v>71</v>
      </c>
      <c r="H101" s="31">
        <v>14</v>
      </c>
      <c r="I101" s="31">
        <v>20000</v>
      </c>
      <c r="J101" s="32">
        <v>0</v>
      </c>
      <c r="K101" s="31">
        <f t="shared" si="0"/>
        <v>280000</v>
      </c>
      <c r="L101" s="31" t="s">
        <v>186</v>
      </c>
      <c r="M101" s="33" t="s">
        <v>196</v>
      </c>
      <c r="N101" s="24"/>
    </row>
  </sheetData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06"/>
  <sheetViews>
    <sheetView workbookViewId="0"/>
  </sheetViews>
  <sheetFormatPr defaultColWidth="14.390625" defaultRowHeight="15" customHeight="1" outlineLevelRow="2" x14ac:dyDescent="0.2"/>
  <cols>
    <col min="1" max="10" width="8.7421875" customWidth="1"/>
    <col min="11" max="11" width="10.4921875" customWidth="1"/>
    <col min="12" max="12" width="7.12890625" customWidth="1"/>
    <col min="13" max="13" width="11.703125" customWidth="1"/>
    <col min="14" max="14" width="10.625" customWidth="1"/>
    <col min="15" max="16" width="9.81640625" customWidth="1"/>
    <col min="17" max="17" width="9.55078125" customWidth="1"/>
    <col min="18" max="18" width="10.4921875" customWidth="1"/>
  </cols>
  <sheetData>
    <row r="1" spans="1:18" x14ac:dyDescent="0.2">
      <c r="A1" t="s">
        <v>59</v>
      </c>
      <c r="B1" t="s">
        <v>60</v>
      </c>
      <c r="C1" t="s">
        <v>61</v>
      </c>
      <c r="D1" t="s">
        <v>63</v>
      </c>
      <c r="E1" t="s">
        <v>62</v>
      </c>
      <c r="F1" t="s">
        <v>64</v>
      </c>
      <c r="G1" t="s">
        <v>65</v>
      </c>
      <c r="H1" t="s">
        <v>66</v>
      </c>
      <c r="K1" t="s">
        <v>59</v>
      </c>
      <c r="L1" t="s">
        <v>60</v>
      </c>
      <c r="M1" t="s">
        <v>61</v>
      </c>
      <c r="N1" t="s">
        <v>63</v>
      </c>
      <c r="O1" t="s">
        <v>62</v>
      </c>
      <c r="P1" t="s">
        <v>64</v>
      </c>
      <c r="Q1" t="s">
        <v>65</v>
      </c>
      <c r="R1" t="s">
        <v>66</v>
      </c>
    </row>
    <row r="2" spans="1:18" outlineLevel="2" x14ac:dyDescent="0.2">
      <c r="A2" t="s">
        <v>206</v>
      </c>
      <c r="B2" t="s">
        <v>68</v>
      </c>
      <c r="C2" t="s">
        <v>80</v>
      </c>
      <c r="D2" t="s">
        <v>207</v>
      </c>
      <c r="E2" t="s">
        <v>208</v>
      </c>
      <c r="F2">
        <v>3</v>
      </c>
      <c r="G2">
        <v>1715</v>
      </c>
      <c r="H2">
        <v>5145</v>
      </c>
      <c r="K2" t="s">
        <v>132</v>
      </c>
      <c r="L2" t="s">
        <v>68</v>
      </c>
      <c r="M2" t="s">
        <v>191</v>
      </c>
      <c r="N2" t="s">
        <v>207</v>
      </c>
      <c r="O2" t="s">
        <v>208</v>
      </c>
      <c r="P2">
        <v>11</v>
      </c>
      <c r="Q2">
        <v>445</v>
      </c>
      <c r="R2">
        <v>4895</v>
      </c>
    </row>
    <row r="3" spans="1:18" outlineLevel="2" x14ac:dyDescent="0.2">
      <c r="A3" t="s">
        <v>209</v>
      </c>
      <c r="B3" t="s">
        <v>68</v>
      </c>
      <c r="C3" t="s">
        <v>191</v>
      </c>
      <c r="D3" t="s">
        <v>207</v>
      </c>
      <c r="E3" t="s">
        <v>208</v>
      </c>
      <c r="F3">
        <v>16</v>
      </c>
      <c r="G3">
        <v>1453</v>
      </c>
      <c r="H3">
        <v>23248</v>
      </c>
      <c r="K3" t="s">
        <v>210</v>
      </c>
      <c r="L3" t="s">
        <v>68</v>
      </c>
      <c r="M3" t="s">
        <v>80</v>
      </c>
      <c r="N3" t="s">
        <v>71</v>
      </c>
      <c r="O3" t="s">
        <v>70</v>
      </c>
      <c r="P3">
        <v>16</v>
      </c>
      <c r="Q3">
        <v>272</v>
      </c>
      <c r="R3">
        <v>4352</v>
      </c>
    </row>
    <row r="4" spans="1:18" outlineLevel="2" x14ac:dyDescent="0.2">
      <c r="A4" t="s">
        <v>211</v>
      </c>
      <c r="B4" t="s">
        <v>76</v>
      </c>
      <c r="C4" t="s">
        <v>69</v>
      </c>
      <c r="D4" t="s">
        <v>212</v>
      </c>
      <c r="E4" t="s">
        <v>213</v>
      </c>
      <c r="F4">
        <v>14</v>
      </c>
      <c r="G4">
        <v>1257</v>
      </c>
      <c r="H4">
        <v>17598</v>
      </c>
      <c r="K4" t="s">
        <v>151</v>
      </c>
      <c r="L4" t="s">
        <v>68</v>
      </c>
      <c r="M4" t="s">
        <v>191</v>
      </c>
      <c r="N4" t="s">
        <v>207</v>
      </c>
      <c r="O4" t="s">
        <v>214</v>
      </c>
      <c r="P4">
        <v>20</v>
      </c>
      <c r="Q4">
        <v>100</v>
      </c>
      <c r="R4">
        <v>2000</v>
      </c>
    </row>
    <row r="5" spans="1:18" outlineLevel="2" x14ac:dyDescent="0.2">
      <c r="A5" t="s">
        <v>215</v>
      </c>
      <c r="B5" t="s">
        <v>68</v>
      </c>
      <c r="C5" t="s">
        <v>216</v>
      </c>
      <c r="D5" t="s">
        <v>207</v>
      </c>
      <c r="E5" t="s">
        <v>214</v>
      </c>
      <c r="F5">
        <v>15</v>
      </c>
      <c r="G5">
        <v>422</v>
      </c>
      <c r="H5">
        <v>6330</v>
      </c>
      <c r="K5" t="s">
        <v>209</v>
      </c>
      <c r="L5" t="s">
        <v>68</v>
      </c>
      <c r="M5" t="s">
        <v>191</v>
      </c>
      <c r="N5" t="s">
        <v>207</v>
      </c>
      <c r="O5" t="s">
        <v>208</v>
      </c>
      <c r="P5">
        <v>16</v>
      </c>
      <c r="Q5">
        <v>1453</v>
      </c>
      <c r="R5">
        <v>23248</v>
      </c>
    </row>
    <row r="6" spans="1:18" outlineLevel="2" x14ac:dyDescent="0.2">
      <c r="A6" t="s">
        <v>217</v>
      </c>
      <c r="B6" t="s">
        <v>90</v>
      </c>
      <c r="C6" t="s">
        <v>80</v>
      </c>
      <c r="D6" t="s">
        <v>71</v>
      </c>
      <c r="E6" t="s">
        <v>92</v>
      </c>
      <c r="F6">
        <v>11</v>
      </c>
      <c r="G6">
        <v>1196</v>
      </c>
      <c r="H6">
        <v>13156</v>
      </c>
      <c r="K6" t="s">
        <v>157</v>
      </c>
      <c r="L6" t="s">
        <v>68</v>
      </c>
      <c r="M6" t="s">
        <v>80</v>
      </c>
      <c r="N6" t="s">
        <v>207</v>
      </c>
      <c r="O6" t="s">
        <v>214</v>
      </c>
      <c r="P6">
        <v>18</v>
      </c>
      <c r="Q6">
        <v>1216</v>
      </c>
      <c r="R6">
        <v>21888</v>
      </c>
    </row>
    <row r="7" spans="1:18" outlineLevel="2" x14ac:dyDescent="0.2">
      <c r="A7" t="s">
        <v>211</v>
      </c>
      <c r="B7" t="s">
        <v>105</v>
      </c>
      <c r="C7" t="s">
        <v>80</v>
      </c>
      <c r="D7" t="s">
        <v>207</v>
      </c>
      <c r="E7" t="s">
        <v>218</v>
      </c>
      <c r="F7">
        <v>11</v>
      </c>
      <c r="G7">
        <v>564</v>
      </c>
      <c r="H7">
        <v>6204</v>
      </c>
      <c r="K7" t="s">
        <v>215</v>
      </c>
      <c r="L7" t="s">
        <v>68</v>
      </c>
      <c r="M7" t="s">
        <v>216</v>
      </c>
      <c r="N7" t="s">
        <v>207</v>
      </c>
      <c r="O7" t="s">
        <v>214</v>
      </c>
      <c r="P7">
        <v>15</v>
      </c>
      <c r="Q7">
        <v>422</v>
      </c>
      <c r="R7">
        <v>6330</v>
      </c>
    </row>
    <row r="8" spans="1:18" outlineLevel="2" x14ac:dyDescent="0.2">
      <c r="A8" t="s">
        <v>219</v>
      </c>
      <c r="B8" t="s">
        <v>90</v>
      </c>
      <c r="C8" t="s">
        <v>216</v>
      </c>
      <c r="D8" t="s">
        <v>71</v>
      </c>
      <c r="E8" t="s">
        <v>87</v>
      </c>
      <c r="F8">
        <v>2</v>
      </c>
      <c r="G8">
        <v>1824</v>
      </c>
      <c r="H8">
        <v>3648</v>
      </c>
      <c r="K8" t="s">
        <v>220</v>
      </c>
      <c r="L8" t="s">
        <v>68</v>
      </c>
      <c r="M8" t="s">
        <v>80</v>
      </c>
      <c r="N8" t="s">
        <v>71</v>
      </c>
      <c r="O8" t="s">
        <v>92</v>
      </c>
      <c r="P8">
        <v>8</v>
      </c>
      <c r="Q8">
        <v>1423</v>
      </c>
      <c r="R8">
        <v>11384</v>
      </c>
    </row>
    <row r="9" spans="1:18" outlineLevel="2" x14ac:dyDescent="0.2">
      <c r="A9" t="s">
        <v>221</v>
      </c>
      <c r="B9" t="s">
        <v>105</v>
      </c>
      <c r="C9" t="s">
        <v>84</v>
      </c>
      <c r="D9" t="s">
        <v>71</v>
      </c>
      <c r="E9" t="s">
        <v>70</v>
      </c>
      <c r="F9">
        <v>20</v>
      </c>
      <c r="G9">
        <v>1566</v>
      </c>
      <c r="H9">
        <v>31320</v>
      </c>
      <c r="K9" t="s">
        <v>222</v>
      </c>
      <c r="L9" t="s">
        <v>68</v>
      </c>
      <c r="M9" t="s">
        <v>223</v>
      </c>
      <c r="N9" t="s">
        <v>207</v>
      </c>
      <c r="O9" t="s">
        <v>214</v>
      </c>
      <c r="P9">
        <v>12</v>
      </c>
      <c r="Q9">
        <v>795</v>
      </c>
      <c r="R9">
        <v>9540</v>
      </c>
    </row>
    <row r="10" spans="1:18" outlineLevel="2" x14ac:dyDescent="0.2">
      <c r="A10" t="s">
        <v>224</v>
      </c>
      <c r="B10" t="s">
        <v>105</v>
      </c>
      <c r="C10" t="s">
        <v>216</v>
      </c>
      <c r="D10" t="s">
        <v>207</v>
      </c>
      <c r="E10" t="s">
        <v>218</v>
      </c>
      <c r="F10">
        <v>13</v>
      </c>
      <c r="G10">
        <v>810</v>
      </c>
      <c r="H10">
        <v>10530</v>
      </c>
      <c r="K10" t="s">
        <v>225</v>
      </c>
      <c r="L10" t="s">
        <v>68</v>
      </c>
      <c r="M10" t="s">
        <v>191</v>
      </c>
      <c r="N10" t="s">
        <v>212</v>
      </c>
      <c r="O10" t="s">
        <v>226</v>
      </c>
      <c r="P10">
        <v>9</v>
      </c>
      <c r="Q10">
        <v>1557</v>
      </c>
      <c r="R10">
        <v>14013</v>
      </c>
    </row>
    <row r="11" spans="1:18" outlineLevel="2" x14ac:dyDescent="0.2">
      <c r="A11" t="s">
        <v>157</v>
      </c>
      <c r="B11" t="s">
        <v>105</v>
      </c>
      <c r="C11" t="s">
        <v>69</v>
      </c>
      <c r="D11" t="s">
        <v>71</v>
      </c>
      <c r="E11" t="s">
        <v>81</v>
      </c>
      <c r="F11">
        <v>9</v>
      </c>
      <c r="G11">
        <v>1001</v>
      </c>
      <c r="H11">
        <v>9009</v>
      </c>
      <c r="K11" t="s">
        <v>206</v>
      </c>
      <c r="L11" t="s">
        <v>68</v>
      </c>
      <c r="M11" t="s">
        <v>80</v>
      </c>
      <c r="N11" t="s">
        <v>207</v>
      </c>
      <c r="O11" t="s">
        <v>208</v>
      </c>
      <c r="P11">
        <v>3</v>
      </c>
      <c r="Q11">
        <v>1715</v>
      </c>
      <c r="R11">
        <v>5145</v>
      </c>
    </row>
    <row r="12" spans="1:18" outlineLevel="2" x14ac:dyDescent="0.2">
      <c r="A12" t="s">
        <v>210</v>
      </c>
      <c r="B12" t="s">
        <v>105</v>
      </c>
      <c r="C12" t="s">
        <v>216</v>
      </c>
      <c r="D12" t="s">
        <v>207</v>
      </c>
      <c r="E12" t="s">
        <v>214</v>
      </c>
      <c r="F12">
        <v>4</v>
      </c>
      <c r="G12">
        <v>1346</v>
      </c>
      <c r="H12">
        <v>5384</v>
      </c>
      <c r="K12" t="s">
        <v>118</v>
      </c>
      <c r="L12" t="s">
        <v>68</v>
      </c>
      <c r="M12" t="s">
        <v>216</v>
      </c>
      <c r="N12" t="s">
        <v>71</v>
      </c>
      <c r="O12" t="s">
        <v>81</v>
      </c>
      <c r="P12">
        <v>3</v>
      </c>
      <c r="Q12">
        <v>1244</v>
      </c>
      <c r="R12">
        <v>3732</v>
      </c>
    </row>
    <row r="13" spans="1:18" outlineLevel="2" x14ac:dyDescent="0.2">
      <c r="A13" t="s">
        <v>227</v>
      </c>
      <c r="B13" t="s">
        <v>105</v>
      </c>
      <c r="C13" t="s">
        <v>216</v>
      </c>
      <c r="D13" t="s">
        <v>212</v>
      </c>
      <c r="E13" t="s">
        <v>228</v>
      </c>
      <c r="F13">
        <v>3</v>
      </c>
      <c r="G13">
        <v>778</v>
      </c>
      <c r="H13">
        <v>2334</v>
      </c>
      <c r="K13" t="s">
        <v>229</v>
      </c>
      <c r="L13" t="s">
        <v>68</v>
      </c>
      <c r="M13" t="s">
        <v>80</v>
      </c>
      <c r="N13" t="s">
        <v>207</v>
      </c>
      <c r="O13" t="s">
        <v>218</v>
      </c>
      <c r="P13">
        <v>6</v>
      </c>
      <c r="Q13">
        <v>1187</v>
      </c>
      <c r="R13">
        <v>7122</v>
      </c>
    </row>
    <row r="14" spans="1:18" outlineLevel="2" x14ac:dyDescent="0.2">
      <c r="A14" t="s">
        <v>230</v>
      </c>
      <c r="B14" t="s">
        <v>76</v>
      </c>
      <c r="C14" t="s">
        <v>80</v>
      </c>
      <c r="D14" t="s">
        <v>207</v>
      </c>
      <c r="E14" t="s">
        <v>214</v>
      </c>
      <c r="F14">
        <v>7</v>
      </c>
      <c r="G14">
        <v>93</v>
      </c>
      <c r="H14">
        <v>651</v>
      </c>
      <c r="K14" t="s">
        <v>231</v>
      </c>
      <c r="L14" t="s">
        <v>68</v>
      </c>
      <c r="M14" t="s">
        <v>223</v>
      </c>
      <c r="N14" t="s">
        <v>71</v>
      </c>
      <c r="O14" t="s">
        <v>87</v>
      </c>
      <c r="P14">
        <v>15</v>
      </c>
      <c r="Q14">
        <v>1246</v>
      </c>
      <c r="R14">
        <v>18690</v>
      </c>
    </row>
    <row r="15" spans="1:18" outlineLevel="2" x14ac:dyDescent="0.2">
      <c r="A15" t="s">
        <v>232</v>
      </c>
      <c r="B15" t="s">
        <v>76</v>
      </c>
      <c r="C15" t="s">
        <v>84</v>
      </c>
      <c r="D15" t="s">
        <v>207</v>
      </c>
      <c r="E15" t="s">
        <v>208</v>
      </c>
      <c r="F15">
        <v>13</v>
      </c>
      <c r="G15">
        <v>1352</v>
      </c>
      <c r="H15">
        <v>17576</v>
      </c>
      <c r="K15" t="s">
        <v>112</v>
      </c>
      <c r="L15" t="s">
        <v>68</v>
      </c>
      <c r="M15" t="s">
        <v>216</v>
      </c>
      <c r="N15" t="s">
        <v>207</v>
      </c>
      <c r="O15" t="s">
        <v>208</v>
      </c>
      <c r="P15">
        <v>8</v>
      </c>
      <c r="Q15">
        <v>812</v>
      </c>
      <c r="R15">
        <v>6496</v>
      </c>
    </row>
    <row r="16" spans="1:18" outlineLevel="2" x14ac:dyDescent="0.2">
      <c r="A16" t="s">
        <v>106</v>
      </c>
      <c r="B16" t="s">
        <v>105</v>
      </c>
      <c r="C16" t="s">
        <v>84</v>
      </c>
      <c r="D16" t="s">
        <v>207</v>
      </c>
      <c r="E16" t="s">
        <v>233</v>
      </c>
      <c r="F16">
        <v>16</v>
      </c>
      <c r="G16">
        <v>1541</v>
      </c>
      <c r="H16">
        <v>24656</v>
      </c>
      <c r="K16" t="s">
        <v>110</v>
      </c>
      <c r="L16" t="s">
        <v>68</v>
      </c>
      <c r="M16" t="s">
        <v>223</v>
      </c>
      <c r="N16" t="s">
        <v>207</v>
      </c>
      <c r="O16" t="s">
        <v>208</v>
      </c>
      <c r="P16">
        <v>17</v>
      </c>
      <c r="Q16">
        <v>1810</v>
      </c>
      <c r="R16">
        <v>30770</v>
      </c>
    </row>
    <row r="17" spans="1:18" outlineLevel="2" x14ac:dyDescent="0.2">
      <c r="A17" t="s">
        <v>135</v>
      </c>
      <c r="B17" t="s">
        <v>76</v>
      </c>
      <c r="C17" t="s">
        <v>191</v>
      </c>
      <c r="D17" t="s">
        <v>207</v>
      </c>
      <c r="E17" t="s">
        <v>233</v>
      </c>
      <c r="F17">
        <v>11</v>
      </c>
      <c r="G17">
        <v>867</v>
      </c>
      <c r="H17">
        <v>9537</v>
      </c>
      <c r="K17" t="s">
        <v>88</v>
      </c>
      <c r="L17" t="s">
        <v>68</v>
      </c>
      <c r="M17" t="s">
        <v>80</v>
      </c>
      <c r="N17" t="s">
        <v>207</v>
      </c>
      <c r="O17" t="s">
        <v>233</v>
      </c>
      <c r="P17">
        <v>1</v>
      </c>
      <c r="Q17">
        <v>184</v>
      </c>
      <c r="R17">
        <v>184</v>
      </c>
    </row>
    <row r="18" spans="1:18" outlineLevel="2" x14ac:dyDescent="0.2">
      <c r="A18" t="s">
        <v>67</v>
      </c>
      <c r="B18" t="s">
        <v>76</v>
      </c>
      <c r="C18" t="s">
        <v>69</v>
      </c>
      <c r="D18" t="s">
        <v>212</v>
      </c>
      <c r="E18" t="s">
        <v>226</v>
      </c>
      <c r="F18">
        <v>10</v>
      </c>
      <c r="G18">
        <v>760</v>
      </c>
      <c r="H18">
        <v>7600</v>
      </c>
      <c r="K18" t="s">
        <v>152</v>
      </c>
      <c r="L18" t="s">
        <v>68</v>
      </c>
      <c r="M18" t="s">
        <v>216</v>
      </c>
      <c r="N18" t="s">
        <v>71</v>
      </c>
      <c r="O18" t="s">
        <v>92</v>
      </c>
      <c r="P18">
        <v>13</v>
      </c>
      <c r="Q18">
        <v>1680</v>
      </c>
      <c r="R18">
        <v>21840</v>
      </c>
    </row>
    <row r="19" spans="1:18" outlineLevel="2" x14ac:dyDescent="0.2">
      <c r="A19" t="s">
        <v>99</v>
      </c>
      <c r="B19" t="s">
        <v>76</v>
      </c>
      <c r="C19" t="s">
        <v>80</v>
      </c>
      <c r="D19" t="s">
        <v>71</v>
      </c>
      <c r="E19" t="s">
        <v>81</v>
      </c>
      <c r="F19">
        <v>5</v>
      </c>
      <c r="G19">
        <v>1046</v>
      </c>
      <c r="H19">
        <v>5230</v>
      </c>
      <c r="K19" t="s">
        <v>234</v>
      </c>
      <c r="L19" t="s">
        <v>68</v>
      </c>
      <c r="M19" t="s">
        <v>69</v>
      </c>
      <c r="N19" t="s">
        <v>207</v>
      </c>
      <c r="O19" t="s">
        <v>208</v>
      </c>
      <c r="P19">
        <v>9</v>
      </c>
      <c r="Q19">
        <v>82</v>
      </c>
      <c r="R19">
        <v>738</v>
      </c>
    </row>
    <row r="20" spans="1:18" outlineLevel="2" x14ac:dyDescent="0.2">
      <c r="A20" t="s">
        <v>235</v>
      </c>
      <c r="B20" t="s">
        <v>76</v>
      </c>
      <c r="C20" t="s">
        <v>223</v>
      </c>
      <c r="D20" t="s">
        <v>71</v>
      </c>
      <c r="E20" t="s">
        <v>92</v>
      </c>
      <c r="F20">
        <v>8</v>
      </c>
      <c r="G20">
        <v>88</v>
      </c>
      <c r="H20">
        <v>704</v>
      </c>
      <c r="K20" t="s">
        <v>72</v>
      </c>
      <c r="L20" t="s">
        <v>68</v>
      </c>
      <c r="M20" t="s">
        <v>80</v>
      </c>
      <c r="N20" t="s">
        <v>212</v>
      </c>
      <c r="O20" t="s">
        <v>228</v>
      </c>
      <c r="P20">
        <v>7</v>
      </c>
      <c r="Q20">
        <v>1911</v>
      </c>
      <c r="R20">
        <v>13377</v>
      </c>
    </row>
    <row r="21" spans="1:18" ht="15.75" customHeight="1" outlineLevel="2" x14ac:dyDescent="0.2">
      <c r="A21" t="s">
        <v>166</v>
      </c>
      <c r="B21" t="s">
        <v>76</v>
      </c>
      <c r="C21" t="s">
        <v>216</v>
      </c>
      <c r="D21" t="s">
        <v>71</v>
      </c>
      <c r="E21" t="s">
        <v>92</v>
      </c>
      <c r="F21">
        <v>5</v>
      </c>
      <c r="G21">
        <v>1412</v>
      </c>
      <c r="H21">
        <v>7060</v>
      </c>
      <c r="K21" t="s">
        <v>236</v>
      </c>
      <c r="L21" t="s">
        <v>68</v>
      </c>
      <c r="M21" t="s">
        <v>84</v>
      </c>
      <c r="N21" t="s">
        <v>212</v>
      </c>
      <c r="O21" t="s">
        <v>213</v>
      </c>
      <c r="P21">
        <v>14</v>
      </c>
      <c r="Q21">
        <v>1891</v>
      </c>
      <c r="R21">
        <v>26474</v>
      </c>
    </row>
    <row r="22" spans="1:18" ht="15.75" customHeight="1" outlineLevel="2" x14ac:dyDescent="0.2">
      <c r="A22" t="s">
        <v>210</v>
      </c>
      <c r="B22" t="s">
        <v>105</v>
      </c>
      <c r="C22" t="s">
        <v>84</v>
      </c>
      <c r="D22" t="s">
        <v>71</v>
      </c>
      <c r="E22" t="s">
        <v>81</v>
      </c>
      <c r="F22">
        <v>1</v>
      </c>
      <c r="G22">
        <v>1632</v>
      </c>
      <c r="H22">
        <v>1632</v>
      </c>
      <c r="K22" t="s">
        <v>237</v>
      </c>
      <c r="L22" t="s">
        <v>68</v>
      </c>
      <c r="M22" t="s">
        <v>191</v>
      </c>
      <c r="N22" t="s">
        <v>71</v>
      </c>
      <c r="O22" t="s">
        <v>70</v>
      </c>
      <c r="P22">
        <v>4</v>
      </c>
      <c r="Q22">
        <v>1190</v>
      </c>
      <c r="R22">
        <v>4760</v>
      </c>
    </row>
    <row r="23" spans="1:18" ht="15.75" customHeight="1" outlineLevel="2" x14ac:dyDescent="0.2">
      <c r="A23" t="s">
        <v>176</v>
      </c>
      <c r="B23" t="s">
        <v>105</v>
      </c>
      <c r="C23" t="s">
        <v>69</v>
      </c>
      <c r="D23" t="s">
        <v>71</v>
      </c>
      <c r="E23" t="s">
        <v>92</v>
      </c>
      <c r="F23">
        <v>1</v>
      </c>
      <c r="G23">
        <v>1902</v>
      </c>
      <c r="H23">
        <v>1902</v>
      </c>
      <c r="K23" t="s">
        <v>238</v>
      </c>
      <c r="L23" t="s">
        <v>68</v>
      </c>
      <c r="M23" t="s">
        <v>191</v>
      </c>
      <c r="N23" t="s">
        <v>207</v>
      </c>
      <c r="O23" t="s">
        <v>233</v>
      </c>
      <c r="P23">
        <v>8</v>
      </c>
      <c r="Q23">
        <v>774</v>
      </c>
      <c r="R23">
        <v>6192</v>
      </c>
    </row>
    <row r="24" spans="1:18" ht="15.75" customHeight="1" outlineLevel="2" x14ac:dyDescent="0.2">
      <c r="A24" t="s">
        <v>239</v>
      </c>
      <c r="B24" t="s">
        <v>76</v>
      </c>
      <c r="C24" t="s">
        <v>191</v>
      </c>
      <c r="D24" t="s">
        <v>207</v>
      </c>
      <c r="E24" t="s">
        <v>233</v>
      </c>
      <c r="F24">
        <v>18</v>
      </c>
      <c r="G24">
        <v>1913</v>
      </c>
      <c r="H24">
        <v>34434</v>
      </c>
      <c r="K24" t="s">
        <v>104</v>
      </c>
      <c r="L24" t="s">
        <v>68</v>
      </c>
      <c r="M24" t="s">
        <v>84</v>
      </c>
      <c r="N24" t="s">
        <v>71</v>
      </c>
      <c r="O24" t="s">
        <v>87</v>
      </c>
      <c r="P24">
        <v>8</v>
      </c>
      <c r="Q24">
        <v>978</v>
      </c>
      <c r="R24">
        <v>7824</v>
      </c>
    </row>
    <row r="25" spans="1:18" ht="15.75" customHeight="1" outlineLevel="2" x14ac:dyDescent="0.2">
      <c r="A25" t="s">
        <v>93</v>
      </c>
      <c r="B25" t="s">
        <v>76</v>
      </c>
      <c r="C25" t="s">
        <v>69</v>
      </c>
      <c r="D25" t="s">
        <v>71</v>
      </c>
      <c r="E25" t="s">
        <v>92</v>
      </c>
      <c r="F25">
        <v>5</v>
      </c>
      <c r="G25">
        <v>465</v>
      </c>
      <c r="H25">
        <v>2325</v>
      </c>
      <c r="K25" t="s">
        <v>240</v>
      </c>
      <c r="L25" t="s">
        <v>68</v>
      </c>
      <c r="M25" t="s">
        <v>69</v>
      </c>
      <c r="N25" t="s">
        <v>207</v>
      </c>
      <c r="O25" t="s">
        <v>214</v>
      </c>
      <c r="P25">
        <v>3</v>
      </c>
      <c r="Q25">
        <v>1383</v>
      </c>
      <c r="R25">
        <v>4149</v>
      </c>
    </row>
    <row r="26" spans="1:18" ht="15.75" customHeight="1" outlineLevel="2" x14ac:dyDescent="0.2">
      <c r="A26" t="s">
        <v>88</v>
      </c>
      <c r="B26" t="s">
        <v>68</v>
      </c>
      <c r="C26" t="s">
        <v>80</v>
      </c>
      <c r="D26" t="s">
        <v>207</v>
      </c>
      <c r="E26" t="s">
        <v>233</v>
      </c>
      <c r="F26">
        <v>1</v>
      </c>
      <c r="G26">
        <v>184</v>
      </c>
      <c r="H26">
        <v>184</v>
      </c>
      <c r="K26" t="s">
        <v>240</v>
      </c>
      <c r="L26" t="s">
        <v>68</v>
      </c>
      <c r="M26" t="s">
        <v>216</v>
      </c>
      <c r="N26" t="s">
        <v>212</v>
      </c>
      <c r="O26" t="s">
        <v>213</v>
      </c>
      <c r="P26">
        <v>7</v>
      </c>
      <c r="Q26">
        <v>1584</v>
      </c>
      <c r="R26">
        <v>11088</v>
      </c>
    </row>
    <row r="27" spans="1:18" ht="15.75" customHeight="1" outlineLevel="2" x14ac:dyDescent="0.2">
      <c r="A27" t="s">
        <v>129</v>
      </c>
      <c r="B27" t="s">
        <v>90</v>
      </c>
      <c r="C27" t="s">
        <v>216</v>
      </c>
      <c r="D27" t="s">
        <v>207</v>
      </c>
      <c r="E27" t="s">
        <v>218</v>
      </c>
      <c r="F27">
        <v>15</v>
      </c>
      <c r="G27">
        <v>1916</v>
      </c>
      <c r="H27">
        <v>28740</v>
      </c>
      <c r="K27" t="s">
        <v>239</v>
      </c>
      <c r="L27" t="s">
        <v>68</v>
      </c>
      <c r="M27" t="s">
        <v>216</v>
      </c>
      <c r="N27" t="s">
        <v>207</v>
      </c>
      <c r="O27" t="s">
        <v>218</v>
      </c>
      <c r="P27">
        <v>15</v>
      </c>
      <c r="Q27">
        <v>1998</v>
      </c>
      <c r="R27">
        <v>29970</v>
      </c>
    </row>
    <row r="28" spans="1:18" ht="15.75" customHeight="1" outlineLevel="1" x14ac:dyDescent="0.2">
      <c r="L28" s="34" t="s">
        <v>241</v>
      </c>
      <c r="R28">
        <f>SUBTOTAL(9,R2:R27)</f>
        <v>296201</v>
      </c>
    </row>
    <row r="29" spans="1:18" ht="15.75" customHeight="1" outlineLevel="2" x14ac:dyDescent="0.2">
      <c r="A29" t="s">
        <v>225</v>
      </c>
      <c r="B29" t="s">
        <v>68</v>
      </c>
      <c r="C29" t="s">
        <v>191</v>
      </c>
      <c r="D29" t="s">
        <v>212</v>
      </c>
      <c r="E29" t="s">
        <v>226</v>
      </c>
      <c r="F29">
        <v>9</v>
      </c>
      <c r="G29">
        <v>1557</v>
      </c>
      <c r="H29">
        <v>14013</v>
      </c>
      <c r="K29" t="s">
        <v>242</v>
      </c>
      <c r="L29" t="s">
        <v>105</v>
      </c>
      <c r="M29" t="s">
        <v>84</v>
      </c>
      <c r="N29" t="s">
        <v>71</v>
      </c>
      <c r="O29" t="s">
        <v>70</v>
      </c>
      <c r="P29">
        <v>3</v>
      </c>
      <c r="Q29">
        <v>1283</v>
      </c>
      <c r="R29">
        <v>3849</v>
      </c>
    </row>
    <row r="30" spans="1:18" ht="15.75" customHeight="1" outlineLevel="2" x14ac:dyDescent="0.2">
      <c r="A30" t="s">
        <v>243</v>
      </c>
      <c r="B30" t="s">
        <v>90</v>
      </c>
      <c r="C30" t="s">
        <v>191</v>
      </c>
      <c r="D30" t="s">
        <v>212</v>
      </c>
      <c r="E30" t="s">
        <v>228</v>
      </c>
      <c r="F30">
        <v>14</v>
      </c>
      <c r="G30">
        <v>383</v>
      </c>
      <c r="H30">
        <v>5362</v>
      </c>
      <c r="K30" t="s">
        <v>132</v>
      </c>
      <c r="L30" t="s">
        <v>105</v>
      </c>
      <c r="M30" t="s">
        <v>216</v>
      </c>
      <c r="N30" t="s">
        <v>207</v>
      </c>
      <c r="O30" t="s">
        <v>233</v>
      </c>
      <c r="P30">
        <v>16</v>
      </c>
      <c r="Q30">
        <v>1930</v>
      </c>
      <c r="R30">
        <v>30880</v>
      </c>
    </row>
    <row r="31" spans="1:18" ht="15.75" customHeight="1" outlineLevel="2" x14ac:dyDescent="0.2">
      <c r="A31" t="s">
        <v>237</v>
      </c>
      <c r="B31" t="s">
        <v>76</v>
      </c>
      <c r="C31" t="s">
        <v>69</v>
      </c>
      <c r="D31" t="s">
        <v>212</v>
      </c>
      <c r="E31" t="s">
        <v>228</v>
      </c>
      <c r="F31">
        <v>17</v>
      </c>
      <c r="G31">
        <v>568</v>
      </c>
      <c r="H31">
        <v>9656</v>
      </c>
      <c r="K31" t="s">
        <v>210</v>
      </c>
      <c r="L31" t="s">
        <v>105</v>
      </c>
      <c r="M31" t="s">
        <v>216</v>
      </c>
      <c r="N31" t="s">
        <v>207</v>
      </c>
      <c r="O31" t="s">
        <v>214</v>
      </c>
      <c r="P31">
        <v>4</v>
      </c>
      <c r="Q31">
        <v>1346</v>
      </c>
      <c r="R31">
        <v>5384</v>
      </c>
    </row>
    <row r="32" spans="1:18" ht="15.75" customHeight="1" outlineLevel="2" x14ac:dyDescent="0.2">
      <c r="A32" t="s">
        <v>118</v>
      </c>
      <c r="B32" t="s">
        <v>90</v>
      </c>
      <c r="C32" t="s">
        <v>216</v>
      </c>
      <c r="D32" t="s">
        <v>207</v>
      </c>
      <c r="E32" t="s">
        <v>208</v>
      </c>
      <c r="F32">
        <v>3</v>
      </c>
      <c r="G32">
        <v>324</v>
      </c>
      <c r="H32">
        <v>972</v>
      </c>
      <c r="K32" t="s">
        <v>210</v>
      </c>
      <c r="L32" t="s">
        <v>105</v>
      </c>
      <c r="M32" t="s">
        <v>84</v>
      </c>
      <c r="N32" t="s">
        <v>71</v>
      </c>
      <c r="O32" t="s">
        <v>81</v>
      </c>
      <c r="P32">
        <v>1</v>
      </c>
      <c r="Q32">
        <v>1632</v>
      </c>
      <c r="R32">
        <v>1632</v>
      </c>
    </row>
    <row r="33" spans="1:18" ht="15.75" customHeight="1" outlineLevel="2" x14ac:dyDescent="0.2">
      <c r="A33" t="s">
        <v>224</v>
      </c>
      <c r="B33" t="s">
        <v>105</v>
      </c>
      <c r="C33" t="s">
        <v>191</v>
      </c>
      <c r="D33" t="s">
        <v>207</v>
      </c>
      <c r="E33" t="s">
        <v>218</v>
      </c>
      <c r="F33">
        <v>7</v>
      </c>
      <c r="G33">
        <v>896</v>
      </c>
      <c r="H33">
        <v>6272</v>
      </c>
      <c r="K33" t="s">
        <v>97</v>
      </c>
      <c r="L33" t="s">
        <v>105</v>
      </c>
      <c r="M33" t="s">
        <v>223</v>
      </c>
      <c r="N33" t="s">
        <v>212</v>
      </c>
      <c r="O33" t="s">
        <v>228</v>
      </c>
      <c r="P33">
        <v>5</v>
      </c>
      <c r="Q33">
        <v>1341</v>
      </c>
      <c r="R33">
        <v>6705</v>
      </c>
    </row>
    <row r="34" spans="1:18" ht="15.75" customHeight="1" outlineLevel="2" x14ac:dyDescent="0.2">
      <c r="A34" t="s">
        <v>244</v>
      </c>
      <c r="B34" t="s">
        <v>105</v>
      </c>
      <c r="C34" t="s">
        <v>84</v>
      </c>
      <c r="D34" t="s">
        <v>71</v>
      </c>
      <c r="E34" t="s">
        <v>92</v>
      </c>
      <c r="F34">
        <v>12</v>
      </c>
      <c r="G34">
        <v>1122</v>
      </c>
      <c r="H34">
        <v>13464</v>
      </c>
      <c r="K34" t="s">
        <v>83</v>
      </c>
      <c r="L34" t="s">
        <v>105</v>
      </c>
      <c r="M34" t="s">
        <v>191</v>
      </c>
      <c r="N34" t="s">
        <v>71</v>
      </c>
      <c r="O34" t="s">
        <v>81</v>
      </c>
      <c r="P34">
        <v>9</v>
      </c>
      <c r="Q34">
        <v>1594</v>
      </c>
      <c r="R34">
        <v>14346</v>
      </c>
    </row>
    <row r="35" spans="1:18" ht="15.75" customHeight="1" outlineLevel="2" x14ac:dyDescent="0.2">
      <c r="A35" t="s">
        <v>103</v>
      </c>
      <c r="B35" t="s">
        <v>105</v>
      </c>
      <c r="C35" t="s">
        <v>80</v>
      </c>
      <c r="D35" t="s">
        <v>207</v>
      </c>
      <c r="E35" t="s">
        <v>214</v>
      </c>
      <c r="F35">
        <v>16</v>
      </c>
      <c r="G35">
        <v>753</v>
      </c>
      <c r="H35">
        <v>12048</v>
      </c>
      <c r="K35" t="s">
        <v>129</v>
      </c>
      <c r="L35" t="s">
        <v>105</v>
      </c>
      <c r="M35" t="s">
        <v>216</v>
      </c>
      <c r="N35" t="s">
        <v>212</v>
      </c>
      <c r="O35" t="s">
        <v>213</v>
      </c>
      <c r="P35">
        <v>9</v>
      </c>
      <c r="Q35">
        <v>1708</v>
      </c>
      <c r="R35">
        <v>15372</v>
      </c>
    </row>
    <row r="36" spans="1:18" ht="15.75" customHeight="1" outlineLevel="2" x14ac:dyDescent="0.2">
      <c r="A36" t="s">
        <v>72</v>
      </c>
      <c r="B36" t="s">
        <v>68</v>
      </c>
      <c r="C36" t="s">
        <v>80</v>
      </c>
      <c r="D36" t="s">
        <v>212</v>
      </c>
      <c r="E36" t="s">
        <v>228</v>
      </c>
      <c r="F36">
        <v>7</v>
      </c>
      <c r="G36">
        <v>1911</v>
      </c>
      <c r="H36">
        <v>13377</v>
      </c>
      <c r="K36" t="s">
        <v>162</v>
      </c>
      <c r="L36" t="s">
        <v>105</v>
      </c>
      <c r="M36" t="s">
        <v>216</v>
      </c>
      <c r="N36" t="s">
        <v>212</v>
      </c>
      <c r="O36" t="s">
        <v>228</v>
      </c>
      <c r="P36">
        <v>10</v>
      </c>
      <c r="Q36">
        <v>1709</v>
      </c>
      <c r="R36">
        <v>17090</v>
      </c>
    </row>
    <row r="37" spans="1:18" ht="15.75" customHeight="1" outlineLevel="2" x14ac:dyDescent="0.2">
      <c r="A37" t="s">
        <v>118</v>
      </c>
      <c r="B37" t="s">
        <v>68</v>
      </c>
      <c r="C37" t="s">
        <v>216</v>
      </c>
      <c r="D37" t="s">
        <v>71</v>
      </c>
      <c r="E37" t="s">
        <v>81</v>
      </c>
      <c r="F37">
        <v>3</v>
      </c>
      <c r="G37">
        <v>1244</v>
      </c>
      <c r="H37">
        <v>3732</v>
      </c>
      <c r="K37" t="s">
        <v>221</v>
      </c>
      <c r="L37" t="s">
        <v>105</v>
      </c>
      <c r="M37" t="s">
        <v>84</v>
      </c>
      <c r="N37" t="s">
        <v>71</v>
      </c>
      <c r="O37" t="s">
        <v>70</v>
      </c>
      <c r="P37">
        <v>20</v>
      </c>
      <c r="Q37">
        <v>1566</v>
      </c>
      <c r="R37">
        <v>31320</v>
      </c>
    </row>
    <row r="38" spans="1:18" ht="15.75" customHeight="1" outlineLevel="2" x14ac:dyDescent="0.2">
      <c r="A38" t="s">
        <v>108</v>
      </c>
      <c r="B38" t="s">
        <v>76</v>
      </c>
      <c r="C38" t="s">
        <v>216</v>
      </c>
      <c r="D38" t="s">
        <v>207</v>
      </c>
      <c r="E38" t="s">
        <v>218</v>
      </c>
      <c r="F38">
        <v>7</v>
      </c>
      <c r="G38">
        <v>617</v>
      </c>
      <c r="H38">
        <v>4319</v>
      </c>
      <c r="K38" t="s">
        <v>244</v>
      </c>
      <c r="L38" t="s">
        <v>105</v>
      </c>
      <c r="M38" t="s">
        <v>84</v>
      </c>
      <c r="N38" t="s">
        <v>71</v>
      </c>
      <c r="O38" t="s">
        <v>92</v>
      </c>
      <c r="P38">
        <v>12</v>
      </c>
      <c r="Q38">
        <v>1122</v>
      </c>
      <c r="R38">
        <v>13464</v>
      </c>
    </row>
    <row r="39" spans="1:18" ht="15.75" customHeight="1" outlineLevel="2" x14ac:dyDescent="0.2">
      <c r="A39" t="s">
        <v>210</v>
      </c>
      <c r="B39" t="s">
        <v>68</v>
      </c>
      <c r="C39" t="s">
        <v>80</v>
      </c>
      <c r="D39" t="s">
        <v>71</v>
      </c>
      <c r="E39" t="s">
        <v>70</v>
      </c>
      <c r="F39">
        <v>16</v>
      </c>
      <c r="G39">
        <v>272</v>
      </c>
      <c r="H39">
        <v>4352</v>
      </c>
      <c r="K39" t="s">
        <v>244</v>
      </c>
      <c r="L39" t="s">
        <v>105</v>
      </c>
      <c r="M39" t="s">
        <v>216</v>
      </c>
      <c r="N39" t="s">
        <v>207</v>
      </c>
      <c r="O39" t="s">
        <v>218</v>
      </c>
      <c r="P39">
        <v>8</v>
      </c>
      <c r="Q39">
        <v>386</v>
      </c>
      <c r="R39">
        <v>3088</v>
      </c>
    </row>
    <row r="40" spans="1:18" ht="15.75" customHeight="1" outlineLevel="2" x14ac:dyDescent="0.2">
      <c r="A40" t="s">
        <v>236</v>
      </c>
      <c r="B40" t="s">
        <v>68</v>
      </c>
      <c r="C40" t="s">
        <v>84</v>
      </c>
      <c r="D40" t="s">
        <v>212</v>
      </c>
      <c r="E40" t="s">
        <v>213</v>
      </c>
      <c r="F40">
        <v>14</v>
      </c>
      <c r="G40">
        <v>1891</v>
      </c>
      <c r="H40">
        <v>26474</v>
      </c>
      <c r="K40" t="s">
        <v>176</v>
      </c>
      <c r="L40" t="s">
        <v>105</v>
      </c>
      <c r="M40" t="s">
        <v>69</v>
      </c>
      <c r="N40" t="s">
        <v>71</v>
      </c>
      <c r="O40" t="s">
        <v>92</v>
      </c>
      <c r="P40">
        <v>1</v>
      </c>
      <c r="Q40">
        <v>1902</v>
      </c>
      <c r="R40">
        <v>1902</v>
      </c>
    </row>
    <row r="41" spans="1:18" ht="15.75" customHeight="1" outlineLevel="2" x14ac:dyDescent="0.2">
      <c r="A41" t="s">
        <v>206</v>
      </c>
      <c r="B41" t="s">
        <v>105</v>
      </c>
      <c r="C41" t="s">
        <v>69</v>
      </c>
      <c r="D41" t="s">
        <v>71</v>
      </c>
      <c r="E41" t="s">
        <v>70</v>
      </c>
      <c r="F41">
        <v>9</v>
      </c>
      <c r="G41">
        <v>1081</v>
      </c>
      <c r="H41">
        <v>9729</v>
      </c>
      <c r="K41" t="s">
        <v>157</v>
      </c>
      <c r="L41" t="s">
        <v>105</v>
      </c>
      <c r="M41" t="s">
        <v>69</v>
      </c>
      <c r="N41" t="s">
        <v>71</v>
      </c>
      <c r="O41" t="s">
        <v>81</v>
      </c>
      <c r="P41">
        <v>9</v>
      </c>
      <c r="Q41">
        <v>1001</v>
      </c>
      <c r="R41">
        <v>9009</v>
      </c>
    </row>
    <row r="42" spans="1:18" ht="15.75" customHeight="1" outlineLevel="2" x14ac:dyDescent="0.2">
      <c r="A42" t="s">
        <v>127</v>
      </c>
      <c r="B42" t="s">
        <v>90</v>
      </c>
      <c r="C42" t="s">
        <v>80</v>
      </c>
      <c r="D42" t="s">
        <v>71</v>
      </c>
      <c r="E42" t="s">
        <v>87</v>
      </c>
      <c r="F42">
        <v>10</v>
      </c>
      <c r="G42">
        <v>547</v>
      </c>
      <c r="H42">
        <v>5470</v>
      </c>
      <c r="K42" t="s">
        <v>144</v>
      </c>
      <c r="L42" t="s">
        <v>105</v>
      </c>
      <c r="M42" t="s">
        <v>69</v>
      </c>
      <c r="N42" t="s">
        <v>212</v>
      </c>
      <c r="O42" t="s">
        <v>228</v>
      </c>
      <c r="P42">
        <v>18</v>
      </c>
      <c r="Q42">
        <v>130</v>
      </c>
      <c r="R42">
        <v>2340</v>
      </c>
    </row>
    <row r="43" spans="1:18" ht="15.75" customHeight="1" outlineLevel="2" x14ac:dyDescent="0.2">
      <c r="A43" t="s">
        <v>209</v>
      </c>
      <c r="B43" t="s">
        <v>90</v>
      </c>
      <c r="C43" t="s">
        <v>191</v>
      </c>
      <c r="D43" t="s">
        <v>212</v>
      </c>
      <c r="E43" t="s">
        <v>213</v>
      </c>
      <c r="F43">
        <v>18</v>
      </c>
      <c r="G43">
        <v>859</v>
      </c>
      <c r="H43">
        <v>15462</v>
      </c>
      <c r="K43" t="s">
        <v>224</v>
      </c>
      <c r="L43" t="s">
        <v>105</v>
      </c>
      <c r="M43" t="s">
        <v>216</v>
      </c>
      <c r="N43" t="s">
        <v>207</v>
      </c>
      <c r="O43" t="s">
        <v>218</v>
      </c>
      <c r="P43">
        <v>13</v>
      </c>
      <c r="Q43">
        <v>810</v>
      </c>
      <c r="R43">
        <v>10530</v>
      </c>
    </row>
    <row r="44" spans="1:18" ht="15.75" customHeight="1" outlineLevel="2" x14ac:dyDescent="0.2">
      <c r="A44" t="s">
        <v>96</v>
      </c>
      <c r="B44" t="s">
        <v>76</v>
      </c>
      <c r="C44" t="s">
        <v>216</v>
      </c>
      <c r="D44" t="s">
        <v>207</v>
      </c>
      <c r="E44" t="s">
        <v>218</v>
      </c>
      <c r="F44">
        <v>8</v>
      </c>
      <c r="G44">
        <v>1885</v>
      </c>
      <c r="H44">
        <v>15080</v>
      </c>
      <c r="K44" t="s">
        <v>224</v>
      </c>
      <c r="L44" t="s">
        <v>105</v>
      </c>
      <c r="M44" t="s">
        <v>191</v>
      </c>
      <c r="N44" t="s">
        <v>207</v>
      </c>
      <c r="O44" t="s">
        <v>218</v>
      </c>
      <c r="P44">
        <v>7</v>
      </c>
      <c r="Q44">
        <v>896</v>
      </c>
      <c r="R44">
        <v>6272</v>
      </c>
    </row>
    <row r="45" spans="1:18" ht="15.75" customHeight="1" outlineLevel="2" x14ac:dyDescent="0.2">
      <c r="A45" t="s">
        <v>244</v>
      </c>
      <c r="B45" t="s">
        <v>105</v>
      </c>
      <c r="C45" t="s">
        <v>216</v>
      </c>
      <c r="D45" t="s">
        <v>207</v>
      </c>
      <c r="E45" t="s">
        <v>218</v>
      </c>
      <c r="F45">
        <v>8</v>
      </c>
      <c r="G45">
        <v>386</v>
      </c>
      <c r="H45">
        <v>3088</v>
      </c>
      <c r="K45" t="s">
        <v>227</v>
      </c>
      <c r="L45" t="s">
        <v>105</v>
      </c>
      <c r="M45" t="s">
        <v>216</v>
      </c>
      <c r="N45" t="s">
        <v>212</v>
      </c>
      <c r="O45" t="s">
        <v>228</v>
      </c>
      <c r="P45">
        <v>3</v>
      </c>
      <c r="Q45">
        <v>778</v>
      </c>
      <c r="R45">
        <v>2334</v>
      </c>
    </row>
    <row r="46" spans="1:18" ht="15.75" customHeight="1" outlineLevel="2" x14ac:dyDescent="0.2">
      <c r="A46" t="s">
        <v>147</v>
      </c>
      <c r="B46" t="s">
        <v>90</v>
      </c>
      <c r="C46" t="s">
        <v>191</v>
      </c>
      <c r="D46" t="s">
        <v>212</v>
      </c>
      <c r="E46" t="s">
        <v>228</v>
      </c>
      <c r="F46">
        <v>20</v>
      </c>
      <c r="G46">
        <v>1358</v>
      </c>
      <c r="H46">
        <v>27160</v>
      </c>
      <c r="K46" t="s">
        <v>245</v>
      </c>
      <c r="L46" t="s">
        <v>105</v>
      </c>
      <c r="M46" t="s">
        <v>191</v>
      </c>
      <c r="N46" t="s">
        <v>71</v>
      </c>
      <c r="O46" t="s">
        <v>87</v>
      </c>
      <c r="P46">
        <v>2</v>
      </c>
      <c r="Q46">
        <v>1375</v>
      </c>
      <c r="R46">
        <v>2750</v>
      </c>
    </row>
    <row r="47" spans="1:18" ht="15.75" customHeight="1" outlineLevel="2" x14ac:dyDescent="0.2">
      <c r="A47" t="s">
        <v>83</v>
      </c>
      <c r="B47" t="s">
        <v>105</v>
      </c>
      <c r="C47" t="s">
        <v>191</v>
      </c>
      <c r="D47" t="s">
        <v>71</v>
      </c>
      <c r="E47" t="s">
        <v>81</v>
      </c>
      <c r="F47">
        <v>9</v>
      </c>
      <c r="G47">
        <v>1594</v>
      </c>
      <c r="H47">
        <v>14346</v>
      </c>
      <c r="K47" t="s">
        <v>166</v>
      </c>
      <c r="L47" t="s">
        <v>105</v>
      </c>
      <c r="M47" t="s">
        <v>216</v>
      </c>
      <c r="N47" t="s">
        <v>71</v>
      </c>
      <c r="O47" t="s">
        <v>81</v>
      </c>
      <c r="P47">
        <v>7</v>
      </c>
      <c r="Q47">
        <v>1372</v>
      </c>
      <c r="R47">
        <v>9604</v>
      </c>
    </row>
    <row r="48" spans="1:18" ht="15.75" customHeight="1" outlineLevel="2" x14ac:dyDescent="0.2">
      <c r="A48" t="s">
        <v>146</v>
      </c>
      <c r="B48" t="s">
        <v>90</v>
      </c>
      <c r="C48" t="s">
        <v>191</v>
      </c>
      <c r="D48" t="s">
        <v>71</v>
      </c>
      <c r="E48" t="s">
        <v>92</v>
      </c>
      <c r="F48">
        <v>5</v>
      </c>
      <c r="G48">
        <v>875</v>
      </c>
      <c r="H48">
        <v>4375</v>
      </c>
      <c r="K48" t="s">
        <v>170</v>
      </c>
      <c r="L48" t="s">
        <v>105</v>
      </c>
      <c r="M48" t="s">
        <v>84</v>
      </c>
      <c r="N48" t="s">
        <v>212</v>
      </c>
      <c r="O48" t="s">
        <v>226</v>
      </c>
      <c r="P48">
        <v>11</v>
      </c>
      <c r="Q48">
        <v>1691</v>
      </c>
      <c r="R48">
        <v>18601</v>
      </c>
    </row>
    <row r="49" spans="1:18" ht="15.75" customHeight="1" outlineLevel="2" x14ac:dyDescent="0.2">
      <c r="A49" t="s">
        <v>152</v>
      </c>
      <c r="B49" t="s">
        <v>68</v>
      </c>
      <c r="C49" t="s">
        <v>216</v>
      </c>
      <c r="D49" t="s">
        <v>71</v>
      </c>
      <c r="E49" t="s">
        <v>92</v>
      </c>
      <c r="F49">
        <v>13</v>
      </c>
      <c r="G49">
        <v>1680</v>
      </c>
      <c r="H49">
        <v>21840</v>
      </c>
      <c r="K49" t="s">
        <v>225</v>
      </c>
      <c r="L49" t="s">
        <v>105</v>
      </c>
      <c r="M49" t="s">
        <v>69</v>
      </c>
      <c r="N49" t="s">
        <v>71</v>
      </c>
      <c r="O49" t="s">
        <v>70</v>
      </c>
      <c r="P49">
        <v>1</v>
      </c>
      <c r="Q49">
        <v>1915</v>
      </c>
      <c r="R49">
        <v>1915</v>
      </c>
    </row>
    <row r="50" spans="1:18" ht="15.75" customHeight="1" outlineLevel="2" x14ac:dyDescent="0.2">
      <c r="A50" t="s">
        <v>245</v>
      </c>
      <c r="B50" t="s">
        <v>105</v>
      </c>
      <c r="C50" t="s">
        <v>191</v>
      </c>
      <c r="D50" t="s">
        <v>71</v>
      </c>
      <c r="E50" t="s">
        <v>87</v>
      </c>
      <c r="F50">
        <v>2</v>
      </c>
      <c r="G50">
        <v>1375</v>
      </c>
      <c r="H50">
        <v>2750</v>
      </c>
      <c r="K50" t="s">
        <v>106</v>
      </c>
      <c r="L50" t="s">
        <v>105</v>
      </c>
      <c r="M50" t="s">
        <v>84</v>
      </c>
      <c r="N50" t="s">
        <v>207</v>
      </c>
      <c r="O50" t="s">
        <v>233</v>
      </c>
      <c r="P50">
        <v>16</v>
      </c>
      <c r="Q50">
        <v>1541</v>
      </c>
      <c r="R50">
        <v>24656</v>
      </c>
    </row>
    <row r="51" spans="1:18" ht="15.75" customHeight="1" outlineLevel="2" x14ac:dyDescent="0.2">
      <c r="A51" t="s">
        <v>145</v>
      </c>
      <c r="B51" t="s">
        <v>90</v>
      </c>
      <c r="C51" t="s">
        <v>223</v>
      </c>
      <c r="D51" t="s">
        <v>212</v>
      </c>
      <c r="E51" t="s">
        <v>226</v>
      </c>
      <c r="F51">
        <v>5</v>
      </c>
      <c r="G51">
        <v>250</v>
      </c>
      <c r="H51">
        <v>1250</v>
      </c>
      <c r="K51" t="s">
        <v>206</v>
      </c>
      <c r="L51" t="s">
        <v>105</v>
      </c>
      <c r="M51" t="s">
        <v>69</v>
      </c>
      <c r="N51" t="s">
        <v>71</v>
      </c>
      <c r="O51" t="s">
        <v>70</v>
      </c>
      <c r="P51">
        <v>9</v>
      </c>
      <c r="Q51">
        <v>1081</v>
      </c>
      <c r="R51">
        <v>9729</v>
      </c>
    </row>
    <row r="52" spans="1:18" ht="15.75" customHeight="1" outlineLevel="2" x14ac:dyDescent="0.2">
      <c r="A52" t="s">
        <v>239</v>
      </c>
      <c r="B52" t="s">
        <v>68</v>
      </c>
      <c r="C52" t="s">
        <v>216</v>
      </c>
      <c r="D52" t="s">
        <v>207</v>
      </c>
      <c r="E52" t="s">
        <v>218</v>
      </c>
      <c r="F52">
        <v>15</v>
      </c>
      <c r="G52">
        <v>1998</v>
      </c>
      <c r="H52">
        <v>29970</v>
      </c>
      <c r="K52" t="s">
        <v>246</v>
      </c>
      <c r="L52" t="s">
        <v>105</v>
      </c>
      <c r="M52" t="s">
        <v>223</v>
      </c>
      <c r="N52" t="s">
        <v>207</v>
      </c>
      <c r="O52" t="s">
        <v>218</v>
      </c>
      <c r="P52">
        <v>14</v>
      </c>
      <c r="Q52">
        <v>1574</v>
      </c>
      <c r="R52">
        <v>22036</v>
      </c>
    </row>
    <row r="53" spans="1:18" ht="15.75" customHeight="1" outlineLevel="2" x14ac:dyDescent="0.2">
      <c r="A53" t="s">
        <v>144</v>
      </c>
      <c r="B53" t="s">
        <v>90</v>
      </c>
      <c r="C53" t="s">
        <v>216</v>
      </c>
      <c r="D53" t="s">
        <v>207</v>
      </c>
      <c r="E53" t="s">
        <v>233</v>
      </c>
      <c r="F53">
        <v>19</v>
      </c>
      <c r="G53">
        <v>942</v>
      </c>
      <c r="H53">
        <v>17898</v>
      </c>
      <c r="K53" t="s">
        <v>247</v>
      </c>
      <c r="L53" t="s">
        <v>105</v>
      </c>
      <c r="M53" t="s">
        <v>216</v>
      </c>
      <c r="N53" t="s">
        <v>207</v>
      </c>
      <c r="O53" t="s">
        <v>218</v>
      </c>
      <c r="P53">
        <v>9</v>
      </c>
      <c r="Q53">
        <v>476</v>
      </c>
      <c r="R53">
        <v>4284</v>
      </c>
    </row>
    <row r="54" spans="1:18" ht="15.75" customHeight="1" outlineLevel="2" x14ac:dyDescent="0.2">
      <c r="A54" t="s">
        <v>247</v>
      </c>
      <c r="B54" t="s">
        <v>105</v>
      </c>
      <c r="C54" t="s">
        <v>216</v>
      </c>
      <c r="D54" t="s">
        <v>207</v>
      </c>
      <c r="E54" t="s">
        <v>218</v>
      </c>
      <c r="F54">
        <v>9</v>
      </c>
      <c r="G54">
        <v>476</v>
      </c>
      <c r="H54">
        <v>4284</v>
      </c>
      <c r="K54" t="s">
        <v>152</v>
      </c>
      <c r="L54" t="s">
        <v>105</v>
      </c>
      <c r="M54" t="s">
        <v>223</v>
      </c>
      <c r="N54" t="s">
        <v>71</v>
      </c>
      <c r="O54" t="s">
        <v>92</v>
      </c>
      <c r="P54">
        <v>2</v>
      </c>
      <c r="Q54">
        <v>1517</v>
      </c>
      <c r="R54">
        <v>3034</v>
      </c>
    </row>
    <row r="55" spans="1:18" ht="15.75" customHeight="1" outlineLevel="2" x14ac:dyDescent="0.2">
      <c r="A55" t="s">
        <v>88</v>
      </c>
      <c r="B55" t="s">
        <v>90</v>
      </c>
      <c r="C55" t="s">
        <v>191</v>
      </c>
      <c r="D55" t="s">
        <v>212</v>
      </c>
      <c r="E55" t="s">
        <v>226</v>
      </c>
      <c r="F55">
        <v>5</v>
      </c>
      <c r="G55">
        <v>626</v>
      </c>
      <c r="H55">
        <v>3130</v>
      </c>
      <c r="K55" t="s">
        <v>103</v>
      </c>
      <c r="L55" t="s">
        <v>105</v>
      </c>
      <c r="M55" t="s">
        <v>80</v>
      </c>
      <c r="N55" t="s">
        <v>207</v>
      </c>
      <c r="O55" t="s">
        <v>214</v>
      </c>
      <c r="P55">
        <v>16</v>
      </c>
      <c r="Q55">
        <v>753</v>
      </c>
      <c r="R55">
        <v>12048</v>
      </c>
    </row>
    <row r="56" spans="1:18" ht="15.75" customHeight="1" outlineLevel="2" x14ac:dyDescent="0.2">
      <c r="A56" t="s">
        <v>244</v>
      </c>
      <c r="B56" t="s">
        <v>90</v>
      </c>
      <c r="C56" t="s">
        <v>80</v>
      </c>
      <c r="D56" t="s">
        <v>212</v>
      </c>
      <c r="E56" t="s">
        <v>228</v>
      </c>
      <c r="F56">
        <v>17</v>
      </c>
      <c r="G56">
        <v>1059</v>
      </c>
      <c r="H56">
        <v>18003</v>
      </c>
      <c r="K56" t="s">
        <v>174</v>
      </c>
      <c r="L56" t="s">
        <v>105</v>
      </c>
      <c r="M56" t="s">
        <v>223</v>
      </c>
      <c r="N56" t="s">
        <v>212</v>
      </c>
      <c r="O56" t="s">
        <v>228</v>
      </c>
      <c r="P56">
        <v>1</v>
      </c>
      <c r="Q56">
        <v>1666</v>
      </c>
      <c r="R56">
        <v>1666</v>
      </c>
    </row>
    <row r="57" spans="1:18" ht="15.75" customHeight="1" outlineLevel="2" x14ac:dyDescent="0.2">
      <c r="A57" t="s">
        <v>222</v>
      </c>
      <c r="B57" t="s">
        <v>68</v>
      </c>
      <c r="C57" t="s">
        <v>223</v>
      </c>
      <c r="D57" t="s">
        <v>207</v>
      </c>
      <c r="E57" t="s">
        <v>214</v>
      </c>
      <c r="F57">
        <v>12</v>
      </c>
      <c r="G57">
        <v>795</v>
      </c>
      <c r="H57">
        <v>9540</v>
      </c>
      <c r="K57" t="s">
        <v>211</v>
      </c>
      <c r="L57" t="s">
        <v>105</v>
      </c>
      <c r="M57" t="s">
        <v>80</v>
      </c>
      <c r="N57" t="s">
        <v>207</v>
      </c>
      <c r="O57" t="s">
        <v>218</v>
      </c>
      <c r="P57">
        <v>11</v>
      </c>
      <c r="Q57">
        <v>564</v>
      </c>
      <c r="R57">
        <v>6204</v>
      </c>
    </row>
    <row r="58" spans="1:18" ht="15.75" customHeight="1" outlineLevel="2" x14ac:dyDescent="0.2">
      <c r="A58" t="s">
        <v>246</v>
      </c>
      <c r="B58" t="s">
        <v>105</v>
      </c>
      <c r="C58" t="s">
        <v>223</v>
      </c>
      <c r="D58" t="s">
        <v>207</v>
      </c>
      <c r="E58" t="s">
        <v>218</v>
      </c>
      <c r="F58">
        <v>14</v>
      </c>
      <c r="G58">
        <v>1574</v>
      </c>
      <c r="H58">
        <v>22036</v>
      </c>
      <c r="K58" t="s">
        <v>240</v>
      </c>
      <c r="L58" t="s">
        <v>105</v>
      </c>
      <c r="M58" t="s">
        <v>80</v>
      </c>
      <c r="N58" t="s">
        <v>207</v>
      </c>
      <c r="O58" t="s">
        <v>218</v>
      </c>
      <c r="P58">
        <v>5</v>
      </c>
      <c r="Q58">
        <v>465</v>
      </c>
      <c r="R58">
        <v>2325</v>
      </c>
    </row>
    <row r="59" spans="1:18" ht="15.75" customHeight="1" outlineLevel="1" x14ac:dyDescent="0.2">
      <c r="L59" s="34" t="s">
        <v>248</v>
      </c>
      <c r="R59">
        <f>SUBTOTAL(9,R29:R58)</f>
        <v>294369</v>
      </c>
    </row>
    <row r="60" spans="1:18" ht="15.75" customHeight="1" outlineLevel="2" x14ac:dyDescent="0.2">
      <c r="A60" t="s">
        <v>157</v>
      </c>
      <c r="B60" t="s">
        <v>68</v>
      </c>
      <c r="C60" t="s">
        <v>80</v>
      </c>
      <c r="D60" t="s">
        <v>207</v>
      </c>
      <c r="E60" t="s">
        <v>214</v>
      </c>
      <c r="F60">
        <v>18</v>
      </c>
      <c r="G60">
        <v>1216</v>
      </c>
      <c r="H60">
        <v>21888</v>
      </c>
      <c r="K60" t="s">
        <v>151</v>
      </c>
      <c r="L60" t="s">
        <v>76</v>
      </c>
      <c r="M60" t="s">
        <v>84</v>
      </c>
      <c r="N60" t="s">
        <v>212</v>
      </c>
      <c r="O60" t="s">
        <v>226</v>
      </c>
      <c r="P60">
        <v>10</v>
      </c>
      <c r="Q60">
        <v>924</v>
      </c>
      <c r="R60">
        <v>9240</v>
      </c>
    </row>
    <row r="61" spans="1:18" ht="15.75" customHeight="1" outlineLevel="2" x14ac:dyDescent="0.2">
      <c r="A61" t="s">
        <v>224</v>
      </c>
      <c r="B61" t="s">
        <v>76</v>
      </c>
      <c r="C61" t="s">
        <v>191</v>
      </c>
      <c r="D61" t="s">
        <v>71</v>
      </c>
      <c r="E61" t="s">
        <v>81</v>
      </c>
      <c r="F61">
        <v>15</v>
      </c>
      <c r="G61">
        <v>783</v>
      </c>
      <c r="H61">
        <v>11745</v>
      </c>
      <c r="K61" t="s">
        <v>230</v>
      </c>
      <c r="L61" t="s">
        <v>76</v>
      </c>
      <c r="M61" t="s">
        <v>80</v>
      </c>
      <c r="N61" t="s">
        <v>207</v>
      </c>
      <c r="O61" t="s">
        <v>214</v>
      </c>
      <c r="P61">
        <v>7</v>
      </c>
      <c r="Q61">
        <v>93</v>
      </c>
      <c r="R61">
        <v>651</v>
      </c>
    </row>
    <row r="62" spans="1:18" ht="15.75" customHeight="1" outlineLevel="2" x14ac:dyDescent="0.2">
      <c r="A62" t="s">
        <v>174</v>
      </c>
      <c r="B62" t="s">
        <v>105</v>
      </c>
      <c r="C62" t="s">
        <v>223</v>
      </c>
      <c r="D62" t="s">
        <v>212</v>
      </c>
      <c r="E62" t="s">
        <v>228</v>
      </c>
      <c r="F62">
        <v>1</v>
      </c>
      <c r="G62">
        <v>1666</v>
      </c>
      <c r="H62">
        <v>1666</v>
      </c>
      <c r="K62" t="s">
        <v>249</v>
      </c>
      <c r="L62" t="s">
        <v>76</v>
      </c>
      <c r="M62" t="s">
        <v>191</v>
      </c>
      <c r="N62" t="s">
        <v>207</v>
      </c>
      <c r="O62" t="s">
        <v>233</v>
      </c>
      <c r="P62">
        <v>7</v>
      </c>
      <c r="Q62">
        <v>442</v>
      </c>
      <c r="R62">
        <v>3094</v>
      </c>
    </row>
    <row r="63" spans="1:18" ht="15.75" customHeight="1" outlineLevel="2" x14ac:dyDescent="0.2">
      <c r="A63" t="s">
        <v>166</v>
      </c>
      <c r="B63" t="s">
        <v>105</v>
      </c>
      <c r="C63" t="s">
        <v>216</v>
      </c>
      <c r="D63" t="s">
        <v>71</v>
      </c>
      <c r="E63" t="s">
        <v>81</v>
      </c>
      <c r="F63">
        <v>7</v>
      </c>
      <c r="G63">
        <v>1372</v>
      </c>
      <c r="H63">
        <v>9604</v>
      </c>
      <c r="K63" t="s">
        <v>249</v>
      </c>
      <c r="L63" t="s">
        <v>76</v>
      </c>
      <c r="M63" t="s">
        <v>223</v>
      </c>
      <c r="N63" t="s">
        <v>212</v>
      </c>
      <c r="O63" t="s">
        <v>228</v>
      </c>
      <c r="P63">
        <v>14</v>
      </c>
      <c r="Q63">
        <v>1949</v>
      </c>
      <c r="R63">
        <v>27286</v>
      </c>
    </row>
    <row r="64" spans="1:18" ht="15.75" customHeight="1" outlineLevel="2" x14ac:dyDescent="0.2">
      <c r="A64" t="s">
        <v>103</v>
      </c>
      <c r="B64" t="s">
        <v>76</v>
      </c>
      <c r="C64" t="s">
        <v>69</v>
      </c>
      <c r="D64" t="s">
        <v>71</v>
      </c>
      <c r="E64" t="s">
        <v>92</v>
      </c>
      <c r="F64">
        <v>6</v>
      </c>
      <c r="G64">
        <v>80</v>
      </c>
      <c r="H64">
        <v>480</v>
      </c>
      <c r="K64" t="s">
        <v>250</v>
      </c>
      <c r="L64" t="s">
        <v>76</v>
      </c>
      <c r="M64" t="s">
        <v>80</v>
      </c>
      <c r="N64" t="s">
        <v>71</v>
      </c>
      <c r="O64" t="s">
        <v>92</v>
      </c>
      <c r="P64">
        <v>11</v>
      </c>
      <c r="Q64">
        <v>512</v>
      </c>
      <c r="R64">
        <v>5632</v>
      </c>
    </row>
    <row r="65" spans="1:18" ht="15.75" customHeight="1" outlineLevel="2" x14ac:dyDescent="0.2">
      <c r="A65" t="s">
        <v>240</v>
      </c>
      <c r="B65" t="s">
        <v>68</v>
      </c>
      <c r="C65" t="s">
        <v>69</v>
      </c>
      <c r="D65" t="s">
        <v>207</v>
      </c>
      <c r="E65" t="s">
        <v>214</v>
      </c>
      <c r="F65">
        <v>3</v>
      </c>
      <c r="G65">
        <v>1383</v>
      </c>
      <c r="H65">
        <v>4149</v>
      </c>
      <c r="K65" t="s">
        <v>168</v>
      </c>
      <c r="L65" t="s">
        <v>76</v>
      </c>
      <c r="M65" t="s">
        <v>223</v>
      </c>
      <c r="N65" t="s">
        <v>207</v>
      </c>
      <c r="O65" t="s">
        <v>208</v>
      </c>
      <c r="P65">
        <v>17</v>
      </c>
      <c r="Q65">
        <v>1267</v>
      </c>
      <c r="R65">
        <v>21539</v>
      </c>
    </row>
    <row r="66" spans="1:18" ht="15.75" customHeight="1" outlineLevel="2" x14ac:dyDescent="0.2">
      <c r="A66" t="s">
        <v>251</v>
      </c>
      <c r="B66" t="s">
        <v>76</v>
      </c>
      <c r="C66" t="s">
        <v>84</v>
      </c>
      <c r="D66" t="s">
        <v>207</v>
      </c>
      <c r="E66" t="s">
        <v>218</v>
      </c>
      <c r="F66">
        <v>6</v>
      </c>
      <c r="G66">
        <v>1294</v>
      </c>
      <c r="H66">
        <v>7764</v>
      </c>
      <c r="K66" t="s">
        <v>157</v>
      </c>
      <c r="L66" t="s">
        <v>76</v>
      </c>
      <c r="M66" t="s">
        <v>216</v>
      </c>
      <c r="N66" t="s">
        <v>207</v>
      </c>
      <c r="O66" t="s">
        <v>233</v>
      </c>
      <c r="P66">
        <v>9</v>
      </c>
      <c r="Q66">
        <v>307</v>
      </c>
      <c r="R66">
        <v>2763</v>
      </c>
    </row>
    <row r="67" spans="1:18" ht="15.75" customHeight="1" outlineLevel="2" x14ac:dyDescent="0.2">
      <c r="A67" t="s">
        <v>252</v>
      </c>
      <c r="B67" t="s">
        <v>90</v>
      </c>
      <c r="C67" t="s">
        <v>80</v>
      </c>
      <c r="D67" t="s">
        <v>212</v>
      </c>
      <c r="E67" t="s">
        <v>228</v>
      </c>
      <c r="F67">
        <v>6</v>
      </c>
      <c r="G67">
        <v>1851</v>
      </c>
      <c r="H67">
        <v>11106</v>
      </c>
      <c r="K67" t="s">
        <v>224</v>
      </c>
      <c r="L67" t="s">
        <v>76</v>
      </c>
      <c r="M67" t="s">
        <v>191</v>
      </c>
      <c r="N67" t="s">
        <v>71</v>
      </c>
      <c r="O67" t="s">
        <v>81</v>
      </c>
      <c r="P67">
        <v>15</v>
      </c>
      <c r="Q67">
        <v>783</v>
      </c>
      <c r="R67">
        <v>11745</v>
      </c>
    </row>
    <row r="68" spans="1:18" ht="15.75" customHeight="1" outlineLevel="2" x14ac:dyDescent="0.2">
      <c r="A68" t="s">
        <v>238</v>
      </c>
      <c r="B68" t="s">
        <v>68</v>
      </c>
      <c r="C68" t="s">
        <v>191</v>
      </c>
      <c r="D68" t="s">
        <v>207</v>
      </c>
      <c r="E68" t="s">
        <v>233</v>
      </c>
      <c r="F68">
        <v>8</v>
      </c>
      <c r="G68">
        <v>774</v>
      </c>
      <c r="H68">
        <v>6192</v>
      </c>
      <c r="K68" t="s">
        <v>166</v>
      </c>
      <c r="L68" t="s">
        <v>76</v>
      </c>
      <c r="M68" t="s">
        <v>216</v>
      </c>
      <c r="N68" t="s">
        <v>71</v>
      </c>
      <c r="O68" t="s">
        <v>92</v>
      </c>
      <c r="P68">
        <v>5</v>
      </c>
      <c r="Q68">
        <v>1412</v>
      </c>
      <c r="R68">
        <v>7060</v>
      </c>
    </row>
    <row r="69" spans="1:18" ht="15.75" customHeight="1" outlineLevel="2" x14ac:dyDescent="0.2">
      <c r="A69" t="s">
        <v>250</v>
      </c>
      <c r="B69" t="s">
        <v>76</v>
      </c>
      <c r="C69" t="s">
        <v>80</v>
      </c>
      <c r="D69" t="s">
        <v>71</v>
      </c>
      <c r="E69" t="s">
        <v>92</v>
      </c>
      <c r="F69">
        <v>11</v>
      </c>
      <c r="G69">
        <v>512</v>
      </c>
      <c r="H69">
        <v>5632</v>
      </c>
      <c r="K69" t="s">
        <v>67</v>
      </c>
      <c r="L69" t="s">
        <v>76</v>
      </c>
      <c r="M69" t="s">
        <v>69</v>
      </c>
      <c r="N69" t="s">
        <v>212</v>
      </c>
      <c r="O69" t="s">
        <v>226</v>
      </c>
      <c r="P69">
        <v>10</v>
      </c>
      <c r="Q69">
        <v>760</v>
      </c>
      <c r="R69">
        <v>7600</v>
      </c>
    </row>
    <row r="70" spans="1:18" ht="15.75" customHeight="1" outlineLevel="2" x14ac:dyDescent="0.2">
      <c r="A70" t="s">
        <v>253</v>
      </c>
      <c r="B70" t="s">
        <v>90</v>
      </c>
      <c r="C70" t="s">
        <v>191</v>
      </c>
      <c r="D70" t="s">
        <v>71</v>
      </c>
      <c r="E70" t="s">
        <v>81</v>
      </c>
      <c r="F70">
        <v>11</v>
      </c>
      <c r="G70">
        <v>1635</v>
      </c>
      <c r="H70">
        <v>17985</v>
      </c>
      <c r="K70" t="s">
        <v>254</v>
      </c>
      <c r="L70" t="s">
        <v>76</v>
      </c>
      <c r="M70" t="s">
        <v>223</v>
      </c>
      <c r="N70" t="s">
        <v>212</v>
      </c>
      <c r="O70" t="s">
        <v>226</v>
      </c>
      <c r="P70">
        <v>8</v>
      </c>
      <c r="Q70">
        <v>922</v>
      </c>
      <c r="R70">
        <v>7376</v>
      </c>
    </row>
    <row r="71" spans="1:18" ht="15.75" customHeight="1" outlineLevel="2" x14ac:dyDescent="0.2">
      <c r="A71" t="s">
        <v>254</v>
      </c>
      <c r="B71" t="s">
        <v>76</v>
      </c>
      <c r="C71" t="s">
        <v>223</v>
      </c>
      <c r="D71" t="s">
        <v>212</v>
      </c>
      <c r="E71" t="s">
        <v>226</v>
      </c>
      <c r="F71">
        <v>8</v>
      </c>
      <c r="G71">
        <v>922</v>
      </c>
      <c r="H71">
        <v>7376</v>
      </c>
      <c r="K71" t="s">
        <v>96</v>
      </c>
      <c r="L71" t="s">
        <v>76</v>
      </c>
      <c r="M71" t="s">
        <v>216</v>
      </c>
      <c r="N71" t="s">
        <v>207</v>
      </c>
      <c r="O71" t="s">
        <v>218</v>
      </c>
      <c r="P71">
        <v>8</v>
      </c>
      <c r="Q71">
        <v>1885</v>
      </c>
      <c r="R71">
        <v>15080</v>
      </c>
    </row>
    <row r="72" spans="1:18" ht="15.75" customHeight="1" outlineLevel="2" x14ac:dyDescent="0.2">
      <c r="A72" t="s">
        <v>237</v>
      </c>
      <c r="B72" t="s">
        <v>68</v>
      </c>
      <c r="C72" t="s">
        <v>191</v>
      </c>
      <c r="D72" t="s">
        <v>71</v>
      </c>
      <c r="E72" t="s">
        <v>70</v>
      </c>
      <c r="F72">
        <v>4</v>
      </c>
      <c r="G72">
        <v>1190</v>
      </c>
      <c r="H72">
        <v>4760</v>
      </c>
      <c r="K72" t="s">
        <v>108</v>
      </c>
      <c r="L72" t="s">
        <v>76</v>
      </c>
      <c r="M72" t="s">
        <v>216</v>
      </c>
      <c r="N72" t="s">
        <v>207</v>
      </c>
      <c r="O72" t="s">
        <v>218</v>
      </c>
      <c r="P72">
        <v>7</v>
      </c>
      <c r="Q72">
        <v>617</v>
      </c>
      <c r="R72">
        <v>4319</v>
      </c>
    </row>
    <row r="73" spans="1:18" ht="15.75" customHeight="1" outlineLevel="2" x14ac:dyDescent="0.2">
      <c r="A73" t="s">
        <v>129</v>
      </c>
      <c r="B73" t="s">
        <v>105</v>
      </c>
      <c r="C73" t="s">
        <v>216</v>
      </c>
      <c r="D73" t="s">
        <v>212</v>
      </c>
      <c r="E73" t="s">
        <v>213</v>
      </c>
      <c r="F73">
        <v>9</v>
      </c>
      <c r="G73">
        <v>1708</v>
      </c>
      <c r="H73">
        <v>15372</v>
      </c>
      <c r="K73" t="s">
        <v>232</v>
      </c>
      <c r="L73" t="s">
        <v>76</v>
      </c>
      <c r="M73" t="s">
        <v>84</v>
      </c>
      <c r="N73" t="s">
        <v>207</v>
      </c>
      <c r="O73" t="s">
        <v>208</v>
      </c>
      <c r="P73">
        <v>13</v>
      </c>
      <c r="Q73">
        <v>1352</v>
      </c>
      <c r="R73">
        <v>17576</v>
      </c>
    </row>
    <row r="74" spans="1:18" ht="15.75" customHeight="1" outlineLevel="2" x14ac:dyDescent="0.2">
      <c r="A74" t="s">
        <v>162</v>
      </c>
      <c r="B74" t="s">
        <v>105</v>
      </c>
      <c r="C74" t="s">
        <v>216</v>
      </c>
      <c r="D74" t="s">
        <v>212</v>
      </c>
      <c r="E74" t="s">
        <v>228</v>
      </c>
      <c r="F74">
        <v>10</v>
      </c>
      <c r="G74">
        <v>1709</v>
      </c>
      <c r="H74">
        <v>17090</v>
      </c>
      <c r="K74" t="s">
        <v>93</v>
      </c>
      <c r="L74" t="s">
        <v>76</v>
      </c>
      <c r="M74" t="s">
        <v>69</v>
      </c>
      <c r="N74" t="s">
        <v>71</v>
      </c>
      <c r="O74" t="s">
        <v>92</v>
      </c>
      <c r="P74">
        <v>5</v>
      </c>
      <c r="Q74">
        <v>465</v>
      </c>
      <c r="R74">
        <v>2325</v>
      </c>
    </row>
    <row r="75" spans="1:18" ht="15.75" customHeight="1" outlineLevel="2" x14ac:dyDescent="0.2">
      <c r="A75" t="s">
        <v>240</v>
      </c>
      <c r="B75" t="s">
        <v>105</v>
      </c>
      <c r="C75" t="s">
        <v>80</v>
      </c>
      <c r="D75" t="s">
        <v>207</v>
      </c>
      <c r="E75" t="s">
        <v>218</v>
      </c>
      <c r="F75">
        <v>5</v>
      </c>
      <c r="G75">
        <v>465</v>
      </c>
      <c r="H75">
        <v>2325</v>
      </c>
      <c r="K75" t="s">
        <v>234</v>
      </c>
      <c r="L75" t="s">
        <v>76</v>
      </c>
      <c r="M75" t="s">
        <v>80</v>
      </c>
      <c r="N75" t="s">
        <v>71</v>
      </c>
      <c r="O75" t="s">
        <v>70</v>
      </c>
      <c r="P75">
        <v>14</v>
      </c>
      <c r="Q75">
        <v>1190</v>
      </c>
      <c r="R75">
        <v>16660</v>
      </c>
    </row>
    <row r="76" spans="1:18" ht="15.75" customHeight="1" outlineLevel="2" x14ac:dyDescent="0.2">
      <c r="A76" t="s">
        <v>249</v>
      </c>
      <c r="B76" t="s">
        <v>76</v>
      </c>
      <c r="C76" t="s">
        <v>191</v>
      </c>
      <c r="D76" t="s">
        <v>207</v>
      </c>
      <c r="E76" t="s">
        <v>233</v>
      </c>
      <c r="F76">
        <v>7</v>
      </c>
      <c r="G76">
        <v>442</v>
      </c>
      <c r="H76">
        <v>3094</v>
      </c>
      <c r="K76" t="s">
        <v>103</v>
      </c>
      <c r="L76" t="s">
        <v>76</v>
      </c>
      <c r="M76" t="s">
        <v>69</v>
      </c>
      <c r="N76" t="s">
        <v>71</v>
      </c>
      <c r="O76" t="s">
        <v>92</v>
      </c>
      <c r="P76">
        <v>6</v>
      </c>
      <c r="Q76">
        <v>80</v>
      </c>
      <c r="R76">
        <v>480</v>
      </c>
    </row>
    <row r="77" spans="1:18" ht="15.75" customHeight="1" outlineLevel="2" x14ac:dyDescent="0.2">
      <c r="A77" t="s">
        <v>112</v>
      </c>
      <c r="B77" t="s">
        <v>68</v>
      </c>
      <c r="C77" t="s">
        <v>216</v>
      </c>
      <c r="D77" t="s">
        <v>207</v>
      </c>
      <c r="E77" t="s">
        <v>208</v>
      </c>
      <c r="F77">
        <v>8</v>
      </c>
      <c r="G77">
        <v>812</v>
      </c>
      <c r="H77">
        <v>6496</v>
      </c>
      <c r="K77" t="s">
        <v>103</v>
      </c>
      <c r="L77" t="s">
        <v>76</v>
      </c>
      <c r="M77" t="s">
        <v>80</v>
      </c>
      <c r="N77" t="s">
        <v>71</v>
      </c>
      <c r="O77" t="s">
        <v>70</v>
      </c>
      <c r="P77">
        <v>3</v>
      </c>
      <c r="Q77">
        <v>646</v>
      </c>
      <c r="R77">
        <v>1938</v>
      </c>
    </row>
    <row r="78" spans="1:18" ht="15.75" customHeight="1" outlineLevel="2" x14ac:dyDescent="0.2">
      <c r="A78" t="s">
        <v>220</v>
      </c>
      <c r="B78" t="s">
        <v>68</v>
      </c>
      <c r="C78" t="s">
        <v>80</v>
      </c>
      <c r="D78" t="s">
        <v>71</v>
      </c>
      <c r="E78" t="s">
        <v>92</v>
      </c>
      <c r="F78">
        <v>8</v>
      </c>
      <c r="G78">
        <v>1423</v>
      </c>
      <c r="H78">
        <v>11384</v>
      </c>
      <c r="K78" t="s">
        <v>251</v>
      </c>
      <c r="L78" t="s">
        <v>76</v>
      </c>
      <c r="M78" t="s">
        <v>84</v>
      </c>
      <c r="N78" t="s">
        <v>207</v>
      </c>
      <c r="O78" t="s">
        <v>218</v>
      </c>
      <c r="P78">
        <v>6</v>
      </c>
      <c r="Q78">
        <v>1294</v>
      </c>
      <c r="R78">
        <v>7764</v>
      </c>
    </row>
    <row r="79" spans="1:18" ht="15.75" customHeight="1" outlineLevel="2" x14ac:dyDescent="0.2">
      <c r="A79" t="s">
        <v>225</v>
      </c>
      <c r="B79" t="s">
        <v>105</v>
      </c>
      <c r="C79" t="s">
        <v>69</v>
      </c>
      <c r="D79" t="s">
        <v>71</v>
      </c>
      <c r="E79" t="s">
        <v>70</v>
      </c>
      <c r="F79">
        <v>1</v>
      </c>
      <c r="G79">
        <v>1915</v>
      </c>
      <c r="H79">
        <v>1915</v>
      </c>
      <c r="K79" t="s">
        <v>99</v>
      </c>
      <c r="L79" t="s">
        <v>76</v>
      </c>
      <c r="M79" t="s">
        <v>80</v>
      </c>
      <c r="N79" t="s">
        <v>71</v>
      </c>
      <c r="O79" t="s">
        <v>81</v>
      </c>
      <c r="P79">
        <v>5</v>
      </c>
      <c r="Q79">
        <v>1046</v>
      </c>
      <c r="R79">
        <v>5230</v>
      </c>
    </row>
    <row r="80" spans="1:18" ht="15.75" customHeight="1" outlineLevel="2" x14ac:dyDescent="0.2">
      <c r="A80" t="s">
        <v>170</v>
      </c>
      <c r="B80" t="s">
        <v>105</v>
      </c>
      <c r="C80" t="s">
        <v>84</v>
      </c>
      <c r="D80" t="s">
        <v>212</v>
      </c>
      <c r="E80" t="s">
        <v>226</v>
      </c>
      <c r="F80">
        <v>11</v>
      </c>
      <c r="G80">
        <v>1691</v>
      </c>
      <c r="H80">
        <v>18601</v>
      </c>
      <c r="K80" t="s">
        <v>237</v>
      </c>
      <c r="L80" t="s">
        <v>76</v>
      </c>
      <c r="M80" t="s">
        <v>69</v>
      </c>
      <c r="N80" t="s">
        <v>212</v>
      </c>
      <c r="O80" t="s">
        <v>228</v>
      </c>
      <c r="P80">
        <v>17</v>
      </c>
      <c r="Q80">
        <v>568</v>
      </c>
      <c r="R80">
        <v>9656</v>
      </c>
    </row>
    <row r="81" spans="1:18" ht="15.75" customHeight="1" outlineLevel="2" x14ac:dyDescent="0.2">
      <c r="A81" t="s">
        <v>222</v>
      </c>
      <c r="B81" t="s">
        <v>90</v>
      </c>
      <c r="C81" t="s">
        <v>216</v>
      </c>
      <c r="D81" t="s">
        <v>212</v>
      </c>
      <c r="E81" t="s">
        <v>213</v>
      </c>
      <c r="F81">
        <v>1</v>
      </c>
      <c r="G81">
        <v>759</v>
      </c>
      <c r="H81">
        <v>759</v>
      </c>
      <c r="K81" t="s">
        <v>211</v>
      </c>
      <c r="L81" t="s">
        <v>76</v>
      </c>
      <c r="M81" t="s">
        <v>69</v>
      </c>
      <c r="N81" t="s">
        <v>212</v>
      </c>
      <c r="O81" t="s">
        <v>213</v>
      </c>
      <c r="P81">
        <v>14</v>
      </c>
      <c r="Q81">
        <v>1257</v>
      </c>
      <c r="R81">
        <v>17598</v>
      </c>
    </row>
    <row r="82" spans="1:18" ht="15.75" customHeight="1" outlineLevel="2" x14ac:dyDescent="0.2">
      <c r="A82" t="s">
        <v>231</v>
      </c>
      <c r="B82" t="s">
        <v>68</v>
      </c>
      <c r="C82" t="s">
        <v>223</v>
      </c>
      <c r="D82" t="s">
        <v>71</v>
      </c>
      <c r="E82" t="s">
        <v>87</v>
      </c>
      <c r="F82">
        <v>15</v>
      </c>
      <c r="G82">
        <v>1246</v>
      </c>
      <c r="H82">
        <v>18690</v>
      </c>
      <c r="K82" t="s">
        <v>235</v>
      </c>
      <c r="L82" t="s">
        <v>76</v>
      </c>
      <c r="M82" t="s">
        <v>223</v>
      </c>
      <c r="N82" t="s">
        <v>71</v>
      </c>
      <c r="O82" t="s">
        <v>92</v>
      </c>
      <c r="P82">
        <v>8</v>
      </c>
      <c r="Q82">
        <v>88</v>
      </c>
      <c r="R82">
        <v>704</v>
      </c>
    </row>
    <row r="83" spans="1:18" ht="15.75" customHeight="1" outlineLevel="2" x14ac:dyDescent="0.2">
      <c r="A83" t="s">
        <v>114</v>
      </c>
      <c r="B83" t="s">
        <v>90</v>
      </c>
      <c r="C83" t="s">
        <v>84</v>
      </c>
      <c r="D83" t="s">
        <v>71</v>
      </c>
      <c r="E83" t="s">
        <v>81</v>
      </c>
      <c r="F83">
        <v>10</v>
      </c>
      <c r="G83">
        <v>1160</v>
      </c>
      <c r="H83">
        <v>11600</v>
      </c>
      <c r="K83" t="s">
        <v>135</v>
      </c>
      <c r="L83" t="s">
        <v>76</v>
      </c>
      <c r="M83" t="s">
        <v>191</v>
      </c>
      <c r="N83" t="s">
        <v>207</v>
      </c>
      <c r="O83" t="s">
        <v>233</v>
      </c>
      <c r="P83">
        <v>11</v>
      </c>
      <c r="Q83">
        <v>867</v>
      </c>
      <c r="R83">
        <v>9537</v>
      </c>
    </row>
    <row r="84" spans="1:18" ht="15.75" customHeight="1" outlineLevel="2" x14ac:dyDescent="0.2">
      <c r="A84" t="s">
        <v>104</v>
      </c>
      <c r="B84" t="s">
        <v>68</v>
      </c>
      <c r="C84" t="s">
        <v>84</v>
      </c>
      <c r="D84" t="s">
        <v>71</v>
      </c>
      <c r="E84" t="s">
        <v>87</v>
      </c>
      <c r="F84">
        <v>8</v>
      </c>
      <c r="G84">
        <v>978</v>
      </c>
      <c r="H84">
        <v>7824</v>
      </c>
      <c r="K84" t="s">
        <v>239</v>
      </c>
      <c r="L84" t="s">
        <v>76</v>
      </c>
      <c r="M84" t="s">
        <v>191</v>
      </c>
      <c r="N84" t="s">
        <v>207</v>
      </c>
      <c r="O84" t="s">
        <v>233</v>
      </c>
      <c r="P84">
        <v>18</v>
      </c>
      <c r="Q84">
        <v>1913</v>
      </c>
      <c r="R84">
        <v>34434</v>
      </c>
    </row>
    <row r="85" spans="1:18" ht="15.75" customHeight="1" outlineLevel="1" x14ac:dyDescent="0.2">
      <c r="L85" s="34" t="s">
        <v>255</v>
      </c>
      <c r="R85">
        <f>SUBTOTAL(9,R60:R84)</f>
        <v>247287</v>
      </c>
    </row>
    <row r="86" spans="1:18" ht="15.75" customHeight="1" outlineLevel="2" x14ac:dyDescent="0.2">
      <c r="A86" t="s">
        <v>152</v>
      </c>
      <c r="B86" t="s">
        <v>105</v>
      </c>
      <c r="C86" t="s">
        <v>223</v>
      </c>
      <c r="D86" t="s">
        <v>71</v>
      </c>
      <c r="E86" t="s">
        <v>92</v>
      </c>
      <c r="F86">
        <v>2</v>
      </c>
      <c r="G86">
        <v>1517</v>
      </c>
      <c r="H86">
        <v>3034</v>
      </c>
      <c r="K86" t="s">
        <v>253</v>
      </c>
      <c r="L86" t="s">
        <v>90</v>
      </c>
      <c r="M86" t="s">
        <v>191</v>
      </c>
      <c r="N86" t="s">
        <v>71</v>
      </c>
      <c r="O86" t="s">
        <v>81</v>
      </c>
      <c r="P86">
        <v>11</v>
      </c>
      <c r="Q86">
        <v>1635</v>
      </c>
      <c r="R86">
        <v>17985</v>
      </c>
    </row>
    <row r="87" spans="1:18" ht="15.75" customHeight="1" outlineLevel="2" x14ac:dyDescent="0.2">
      <c r="A87" t="s">
        <v>103</v>
      </c>
      <c r="B87" t="s">
        <v>76</v>
      </c>
      <c r="C87" t="s">
        <v>80</v>
      </c>
      <c r="D87" t="s">
        <v>71</v>
      </c>
      <c r="E87" t="s">
        <v>70</v>
      </c>
      <c r="F87">
        <v>3</v>
      </c>
      <c r="G87">
        <v>646</v>
      </c>
      <c r="H87">
        <v>1938</v>
      </c>
      <c r="K87" t="s">
        <v>146</v>
      </c>
      <c r="L87" t="s">
        <v>90</v>
      </c>
      <c r="M87" t="s">
        <v>191</v>
      </c>
      <c r="N87" t="s">
        <v>71</v>
      </c>
      <c r="O87" t="s">
        <v>92</v>
      </c>
      <c r="P87">
        <v>5</v>
      </c>
      <c r="Q87">
        <v>875</v>
      </c>
      <c r="R87">
        <v>4375</v>
      </c>
    </row>
    <row r="88" spans="1:18" ht="15.75" customHeight="1" outlineLevel="2" x14ac:dyDescent="0.2">
      <c r="A88" t="s">
        <v>144</v>
      </c>
      <c r="B88" t="s">
        <v>105</v>
      </c>
      <c r="C88" t="s">
        <v>69</v>
      </c>
      <c r="D88" t="s">
        <v>212</v>
      </c>
      <c r="E88" t="s">
        <v>228</v>
      </c>
      <c r="F88">
        <v>18</v>
      </c>
      <c r="G88">
        <v>130</v>
      </c>
      <c r="H88">
        <v>2340</v>
      </c>
      <c r="K88" t="s">
        <v>250</v>
      </c>
      <c r="L88" t="s">
        <v>90</v>
      </c>
      <c r="M88" t="s">
        <v>69</v>
      </c>
      <c r="N88" t="s">
        <v>207</v>
      </c>
      <c r="O88" t="s">
        <v>208</v>
      </c>
      <c r="P88">
        <v>2</v>
      </c>
      <c r="Q88">
        <v>997</v>
      </c>
      <c r="R88">
        <v>1994</v>
      </c>
    </row>
    <row r="89" spans="1:18" ht="15.75" customHeight="1" outlineLevel="2" x14ac:dyDescent="0.2">
      <c r="A89" t="s">
        <v>157</v>
      </c>
      <c r="B89" t="s">
        <v>76</v>
      </c>
      <c r="C89" t="s">
        <v>216</v>
      </c>
      <c r="D89" t="s">
        <v>207</v>
      </c>
      <c r="E89" t="s">
        <v>233</v>
      </c>
      <c r="F89">
        <v>9</v>
      </c>
      <c r="G89">
        <v>307</v>
      </c>
      <c r="H89">
        <v>2763</v>
      </c>
      <c r="K89" t="s">
        <v>129</v>
      </c>
      <c r="L89" t="s">
        <v>90</v>
      </c>
      <c r="M89" t="s">
        <v>216</v>
      </c>
      <c r="N89" t="s">
        <v>207</v>
      </c>
      <c r="O89" t="s">
        <v>218</v>
      </c>
      <c r="P89">
        <v>15</v>
      </c>
      <c r="Q89">
        <v>1916</v>
      </c>
      <c r="R89">
        <v>28740</v>
      </c>
    </row>
    <row r="90" spans="1:18" ht="15.75" customHeight="1" outlineLevel="2" x14ac:dyDescent="0.2">
      <c r="A90" t="s">
        <v>249</v>
      </c>
      <c r="B90" t="s">
        <v>76</v>
      </c>
      <c r="C90" t="s">
        <v>223</v>
      </c>
      <c r="D90" t="s">
        <v>212</v>
      </c>
      <c r="E90" t="s">
        <v>228</v>
      </c>
      <c r="F90">
        <v>14</v>
      </c>
      <c r="G90">
        <v>1949</v>
      </c>
      <c r="H90">
        <v>27286</v>
      </c>
      <c r="K90" t="s">
        <v>244</v>
      </c>
      <c r="L90" t="s">
        <v>90</v>
      </c>
      <c r="M90" t="s">
        <v>80</v>
      </c>
      <c r="N90" t="s">
        <v>212</v>
      </c>
      <c r="O90" t="s">
        <v>228</v>
      </c>
      <c r="P90">
        <v>17</v>
      </c>
      <c r="Q90">
        <v>1059</v>
      </c>
      <c r="R90">
        <v>18003</v>
      </c>
    </row>
    <row r="91" spans="1:18" ht="15.75" customHeight="1" outlineLevel="2" x14ac:dyDescent="0.2">
      <c r="A91" t="s">
        <v>110</v>
      </c>
      <c r="B91" t="s">
        <v>68</v>
      </c>
      <c r="C91" t="s">
        <v>223</v>
      </c>
      <c r="D91" t="s">
        <v>207</v>
      </c>
      <c r="E91" t="s">
        <v>208</v>
      </c>
      <c r="F91">
        <v>17</v>
      </c>
      <c r="G91">
        <v>1810</v>
      </c>
      <c r="H91">
        <v>30770</v>
      </c>
      <c r="K91" t="s">
        <v>209</v>
      </c>
      <c r="L91" t="s">
        <v>90</v>
      </c>
      <c r="M91" t="s">
        <v>191</v>
      </c>
      <c r="N91" t="s">
        <v>212</v>
      </c>
      <c r="O91" t="s">
        <v>213</v>
      </c>
      <c r="P91">
        <v>18</v>
      </c>
      <c r="Q91">
        <v>859</v>
      </c>
      <c r="R91">
        <v>15462</v>
      </c>
    </row>
    <row r="92" spans="1:18" ht="15.75" customHeight="1" outlineLevel="2" x14ac:dyDescent="0.2">
      <c r="A92" t="s">
        <v>168</v>
      </c>
      <c r="B92" t="s">
        <v>76</v>
      </c>
      <c r="C92" t="s">
        <v>223</v>
      </c>
      <c r="D92" t="s">
        <v>207</v>
      </c>
      <c r="E92" t="s">
        <v>208</v>
      </c>
      <c r="F92">
        <v>17</v>
      </c>
      <c r="G92">
        <v>1267</v>
      </c>
      <c r="H92">
        <v>21539</v>
      </c>
      <c r="K92" t="s">
        <v>144</v>
      </c>
      <c r="L92" t="s">
        <v>90</v>
      </c>
      <c r="M92" t="s">
        <v>216</v>
      </c>
      <c r="N92" t="s">
        <v>207</v>
      </c>
      <c r="O92" t="s">
        <v>233</v>
      </c>
      <c r="P92">
        <v>19</v>
      </c>
      <c r="Q92">
        <v>942</v>
      </c>
      <c r="R92">
        <v>17898</v>
      </c>
    </row>
    <row r="93" spans="1:18" ht="15.75" customHeight="1" outlineLevel="2" x14ac:dyDescent="0.2">
      <c r="A93" t="s">
        <v>229</v>
      </c>
      <c r="B93" t="s">
        <v>68</v>
      </c>
      <c r="C93" t="s">
        <v>80</v>
      </c>
      <c r="D93" t="s">
        <v>207</v>
      </c>
      <c r="E93" t="s">
        <v>218</v>
      </c>
      <c r="F93">
        <v>6</v>
      </c>
      <c r="G93">
        <v>1187</v>
      </c>
      <c r="H93">
        <v>7122</v>
      </c>
      <c r="K93" t="s">
        <v>252</v>
      </c>
      <c r="L93" t="s">
        <v>90</v>
      </c>
      <c r="M93" t="s">
        <v>80</v>
      </c>
      <c r="N93" t="s">
        <v>212</v>
      </c>
      <c r="O93" t="s">
        <v>228</v>
      </c>
      <c r="P93">
        <v>6</v>
      </c>
      <c r="Q93">
        <v>1851</v>
      </c>
      <c r="R93">
        <v>11106</v>
      </c>
    </row>
    <row r="94" spans="1:18" ht="15.75" customHeight="1" outlineLevel="2" x14ac:dyDescent="0.2">
      <c r="A94" t="s">
        <v>97</v>
      </c>
      <c r="B94" t="s">
        <v>105</v>
      </c>
      <c r="C94" t="s">
        <v>223</v>
      </c>
      <c r="D94" t="s">
        <v>212</v>
      </c>
      <c r="E94" t="s">
        <v>228</v>
      </c>
      <c r="F94">
        <v>5</v>
      </c>
      <c r="G94">
        <v>1341</v>
      </c>
      <c r="H94">
        <v>6705</v>
      </c>
      <c r="K94" t="s">
        <v>222</v>
      </c>
      <c r="L94" t="s">
        <v>90</v>
      </c>
      <c r="M94" t="s">
        <v>216</v>
      </c>
      <c r="N94" t="s">
        <v>212</v>
      </c>
      <c r="O94" t="s">
        <v>213</v>
      </c>
      <c r="P94">
        <v>1</v>
      </c>
      <c r="Q94">
        <v>759</v>
      </c>
      <c r="R94">
        <v>759</v>
      </c>
    </row>
    <row r="95" spans="1:18" ht="15.75" customHeight="1" outlineLevel="2" x14ac:dyDescent="0.2">
      <c r="A95" t="s">
        <v>151</v>
      </c>
      <c r="B95" t="s">
        <v>68</v>
      </c>
      <c r="C95" t="s">
        <v>191</v>
      </c>
      <c r="D95" t="s">
        <v>207</v>
      </c>
      <c r="E95" t="s">
        <v>214</v>
      </c>
      <c r="F95">
        <v>20</v>
      </c>
      <c r="G95">
        <v>100</v>
      </c>
      <c r="H95">
        <v>2000</v>
      </c>
      <c r="K95" t="s">
        <v>217</v>
      </c>
      <c r="L95" t="s">
        <v>90</v>
      </c>
      <c r="M95" t="s">
        <v>80</v>
      </c>
      <c r="N95" t="s">
        <v>71</v>
      </c>
      <c r="O95" t="s">
        <v>92</v>
      </c>
      <c r="P95">
        <v>11</v>
      </c>
      <c r="Q95">
        <v>1196</v>
      </c>
      <c r="R95">
        <v>13156</v>
      </c>
    </row>
    <row r="96" spans="1:18" ht="15.75" customHeight="1" outlineLevel="2" x14ac:dyDescent="0.2">
      <c r="A96" t="s">
        <v>234</v>
      </c>
      <c r="B96" t="s">
        <v>68</v>
      </c>
      <c r="C96" t="s">
        <v>69</v>
      </c>
      <c r="D96" t="s">
        <v>207</v>
      </c>
      <c r="E96" t="s">
        <v>208</v>
      </c>
      <c r="F96">
        <v>9</v>
      </c>
      <c r="G96">
        <v>82</v>
      </c>
      <c r="H96">
        <v>738</v>
      </c>
      <c r="K96" t="s">
        <v>145</v>
      </c>
      <c r="L96" t="s">
        <v>90</v>
      </c>
      <c r="M96" t="s">
        <v>223</v>
      </c>
      <c r="N96" t="s">
        <v>212</v>
      </c>
      <c r="O96" t="s">
        <v>226</v>
      </c>
      <c r="P96">
        <v>5</v>
      </c>
      <c r="Q96">
        <v>250</v>
      </c>
      <c r="R96">
        <v>1250</v>
      </c>
    </row>
    <row r="97" spans="1:18" ht="15.75" customHeight="1" outlineLevel="2" x14ac:dyDescent="0.2">
      <c r="A97" t="s">
        <v>240</v>
      </c>
      <c r="B97" t="s">
        <v>68</v>
      </c>
      <c r="C97" t="s">
        <v>216</v>
      </c>
      <c r="D97" t="s">
        <v>212</v>
      </c>
      <c r="E97" t="s">
        <v>213</v>
      </c>
      <c r="F97">
        <v>7</v>
      </c>
      <c r="G97">
        <v>1584</v>
      </c>
      <c r="H97">
        <v>11088</v>
      </c>
      <c r="K97" t="s">
        <v>127</v>
      </c>
      <c r="L97" t="s">
        <v>90</v>
      </c>
      <c r="M97" t="s">
        <v>80</v>
      </c>
      <c r="N97" t="s">
        <v>71</v>
      </c>
      <c r="O97" t="s">
        <v>87</v>
      </c>
      <c r="P97">
        <v>10</v>
      </c>
      <c r="Q97">
        <v>547</v>
      </c>
      <c r="R97">
        <v>5470</v>
      </c>
    </row>
    <row r="98" spans="1:18" ht="15.75" customHeight="1" outlineLevel="2" x14ac:dyDescent="0.2">
      <c r="A98" t="s">
        <v>132</v>
      </c>
      <c r="B98" t="s">
        <v>68</v>
      </c>
      <c r="C98" t="s">
        <v>191</v>
      </c>
      <c r="D98" t="s">
        <v>207</v>
      </c>
      <c r="E98" t="s">
        <v>208</v>
      </c>
      <c r="F98">
        <v>11</v>
      </c>
      <c r="G98">
        <v>445</v>
      </c>
      <c r="H98">
        <v>4895</v>
      </c>
      <c r="K98" t="s">
        <v>118</v>
      </c>
      <c r="L98" t="s">
        <v>90</v>
      </c>
      <c r="M98" t="s">
        <v>216</v>
      </c>
      <c r="N98" t="s">
        <v>207</v>
      </c>
      <c r="O98" t="s">
        <v>208</v>
      </c>
      <c r="P98">
        <v>3</v>
      </c>
      <c r="Q98">
        <v>324</v>
      </c>
      <c r="R98">
        <v>972</v>
      </c>
    </row>
    <row r="99" spans="1:18" ht="15.75" customHeight="1" outlineLevel="2" x14ac:dyDescent="0.2">
      <c r="A99" t="s">
        <v>108</v>
      </c>
      <c r="B99" t="s">
        <v>90</v>
      </c>
      <c r="C99" t="s">
        <v>216</v>
      </c>
      <c r="D99" t="s">
        <v>207</v>
      </c>
      <c r="E99" t="s">
        <v>214</v>
      </c>
      <c r="F99">
        <v>20</v>
      </c>
      <c r="G99">
        <v>1257</v>
      </c>
      <c r="H99">
        <v>25140</v>
      </c>
      <c r="K99" t="s">
        <v>243</v>
      </c>
      <c r="L99" t="s">
        <v>90</v>
      </c>
      <c r="M99" t="s">
        <v>191</v>
      </c>
      <c r="N99" t="s">
        <v>212</v>
      </c>
      <c r="O99" t="s">
        <v>228</v>
      </c>
      <c r="P99">
        <v>14</v>
      </c>
      <c r="Q99">
        <v>383</v>
      </c>
      <c r="R99">
        <v>5362</v>
      </c>
    </row>
    <row r="100" spans="1:18" ht="15.75" customHeight="1" outlineLevel="2" x14ac:dyDescent="0.2">
      <c r="A100" t="s">
        <v>234</v>
      </c>
      <c r="B100" t="s">
        <v>76</v>
      </c>
      <c r="C100" t="s">
        <v>80</v>
      </c>
      <c r="D100" t="s">
        <v>71</v>
      </c>
      <c r="E100" t="s">
        <v>70</v>
      </c>
      <c r="F100">
        <v>14</v>
      </c>
      <c r="G100">
        <v>1190</v>
      </c>
      <c r="H100">
        <v>16660</v>
      </c>
      <c r="K100" t="s">
        <v>108</v>
      </c>
      <c r="L100" t="s">
        <v>90</v>
      </c>
      <c r="M100" t="s">
        <v>216</v>
      </c>
      <c r="N100" t="s">
        <v>207</v>
      </c>
      <c r="O100" t="s">
        <v>214</v>
      </c>
      <c r="P100">
        <v>20</v>
      </c>
      <c r="Q100">
        <v>1257</v>
      </c>
      <c r="R100">
        <v>25140</v>
      </c>
    </row>
    <row r="101" spans="1:18" ht="15.75" customHeight="1" outlineLevel="2" x14ac:dyDescent="0.2">
      <c r="A101" t="s">
        <v>132</v>
      </c>
      <c r="B101" t="s">
        <v>105</v>
      </c>
      <c r="C101" t="s">
        <v>216</v>
      </c>
      <c r="D101" t="s">
        <v>207</v>
      </c>
      <c r="E101" t="s">
        <v>233</v>
      </c>
      <c r="F101">
        <v>16</v>
      </c>
      <c r="G101">
        <v>1930</v>
      </c>
      <c r="H101">
        <v>30880</v>
      </c>
      <c r="K101" t="s">
        <v>219</v>
      </c>
      <c r="L101" t="s">
        <v>90</v>
      </c>
      <c r="M101" t="s">
        <v>216</v>
      </c>
      <c r="N101" t="s">
        <v>71</v>
      </c>
      <c r="O101" t="s">
        <v>87</v>
      </c>
      <c r="P101">
        <v>2</v>
      </c>
      <c r="Q101">
        <v>1824</v>
      </c>
      <c r="R101">
        <v>3648</v>
      </c>
    </row>
    <row r="102" spans="1:18" ht="15.75" customHeight="1" outlineLevel="2" x14ac:dyDescent="0.2">
      <c r="A102" t="s">
        <v>250</v>
      </c>
      <c r="B102" t="s">
        <v>90</v>
      </c>
      <c r="C102" t="s">
        <v>69</v>
      </c>
      <c r="D102" t="s">
        <v>207</v>
      </c>
      <c r="E102" t="s">
        <v>208</v>
      </c>
      <c r="F102">
        <v>2</v>
      </c>
      <c r="G102">
        <v>997</v>
      </c>
      <c r="H102">
        <v>1994</v>
      </c>
      <c r="K102" t="s">
        <v>147</v>
      </c>
      <c r="L102" t="s">
        <v>90</v>
      </c>
      <c r="M102" t="s">
        <v>191</v>
      </c>
      <c r="N102" t="s">
        <v>212</v>
      </c>
      <c r="O102" t="s">
        <v>228</v>
      </c>
      <c r="P102">
        <v>20</v>
      </c>
      <c r="Q102">
        <v>1358</v>
      </c>
      <c r="R102">
        <v>27160</v>
      </c>
    </row>
    <row r="103" spans="1:18" ht="15.75" customHeight="1" outlineLevel="2" x14ac:dyDescent="0.2">
      <c r="A103" t="s">
        <v>151</v>
      </c>
      <c r="B103" t="s">
        <v>76</v>
      </c>
      <c r="C103" t="s">
        <v>84</v>
      </c>
      <c r="D103" t="s">
        <v>212</v>
      </c>
      <c r="E103" t="s">
        <v>226</v>
      </c>
      <c r="F103">
        <v>10</v>
      </c>
      <c r="G103">
        <v>924</v>
      </c>
      <c r="H103">
        <v>9240</v>
      </c>
      <c r="K103" t="s">
        <v>88</v>
      </c>
      <c r="L103" t="s">
        <v>90</v>
      </c>
      <c r="M103" t="s">
        <v>191</v>
      </c>
      <c r="N103" t="s">
        <v>212</v>
      </c>
      <c r="O103" t="s">
        <v>226</v>
      </c>
      <c r="P103">
        <v>5</v>
      </c>
      <c r="Q103">
        <v>626</v>
      </c>
      <c r="R103">
        <v>3130</v>
      </c>
    </row>
    <row r="104" spans="1:18" ht="15.75" customHeight="1" outlineLevel="2" x14ac:dyDescent="0.2">
      <c r="A104" t="s">
        <v>242</v>
      </c>
      <c r="B104" t="s">
        <v>105</v>
      </c>
      <c r="C104" t="s">
        <v>84</v>
      </c>
      <c r="D104" t="s">
        <v>71</v>
      </c>
      <c r="E104" t="s">
        <v>70</v>
      </c>
      <c r="F104">
        <v>3</v>
      </c>
      <c r="G104">
        <v>1283</v>
      </c>
      <c r="H104">
        <v>3849</v>
      </c>
      <c r="K104" t="s">
        <v>114</v>
      </c>
      <c r="L104" t="s">
        <v>90</v>
      </c>
      <c r="M104" t="s">
        <v>84</v>
      </c>
      <c r="N104" t="s">
        <v>71</v>
      </c>
      <c r="O104" t="s">
        <v>81</v>
      </c>
      <c r="P104">
        <v>10</v>
      </c>
      <c r="Q104">
        <v>1160</v>
      </c>
      <c r="R104">
        <v>11600</v>
      </c>
    </row>
    <row r="105" spans="1:18" ht="15.75" customHeight="1" outlineLevel="1" x14ac:dyDescent="0.2">
      <c r="L105" s="34" t="s">
        <v>256</v>
      </c>
      <c r="R105">
        <f>SUBTOTAL(9,R86:R104)</f>
        <v>213210</v>
      </c>
    </row>
    <row r="106" spans="1:18" ht="15.75" customHeight="1" x14ac:dyDescent="0.2">
      <c r="L106" s="34" t="s">
        <v>257</v>
      </c>
      <c r="R106">
        <f>SUBTOTAL(9,R2:R104)</f>
        <v>1051067</v>
      </c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01"/>
  <sheetViews>
    <sheetView workbookViewId="0"/>
  </sheetViews>
  <sheetFormatPr defaultColWidth="14.390625" defaultRowHeight="15" customHeight="1" x14ac:dyDescent="0.2"/>
  <cols>
    <col min="1" max="1" width="10.4921875" customWidth="1"/>
    <col min="2" max="2" width="13.98828125" customWidth="1"/>
    <col min="3" max="3" width="9.01171875" customWidth="1"/>
    <col min="4" max="4" width="11.703125" customWidth="1"/>
    <col min="5" max="5" width="16.54296875" customWidth="1"/>
    <col min="6" max="6" width="12.64453125" customWidth="1"/>
    <col min="7" max="7" width="9.81640625" customWidth="1"/>
    <col min="8" max="8" width="9.55078125" customWidth="1"/>
    <col min="9" max="9" width="11.56640625" customWidth="1"/>
    <col min="10" max="10" width="15.33203125" customWidth="1"/>
    <col min="11" max="11" width="10.76171875" customWidth="1"/>
    <col min="12" max="12" width="8.7421875" customWidth="1"/>
  </cols>
  <sheetData>
    <row r="1" spans="1:12" x14ac:dyDescent="0.2">
      <c r="A1" t="s">
        <v>59</v>
      </c>
      <c r="B1" t="s">
        <v>60</v>
      </c>
      <c r="C1" t="s">
        <v>258</v>
      </c>
      <c r="D1" t="s">
        <v>61</v>
      </c>
      <c r="E1" t="s">
        <v>259</v>
      </c>
      <c r="F1" t="s">
        <v>62</v>
      </c>
      <c r="G1" t="s">
        <v>64</v>
      </c>
      <c r="H1" t="s">
        <v>65</v>
      </c>
      <c r="I1" t="s">
        <v>260</v>
      </c>
      <c r="J1" t="s">
        <v>261</v>
      </c>
      <c r="K1" t="s">
        <v>181</v>
      </c>
      <c r="L1" t="s">
        <v>262</v>
      </c>
    </row>
    <row r="2" spans="1:12" x14ac:dyDescent="0.2">
      <c r="A2" t="s">
        <v>152</v>
      </c>
      <c r="B2" t="s">
        <v>263</v>
      </c>
      <c r="C2" t="s">
        <v>264</v>
      </c>
      <c r="D2" t="s">
        <v>191</v>
      </c>
      <c r="E2" t="s">
        <v>71</v>
      </c>
      <c r="F2" t="s">
        <v>87</v>
      </c>
      <c r="G2">
        <v>5</v>
      </c>
      <c r="H2">
        <v>421.31</v>
      </c>
      <c r="I2">
        <v>2106.5500000000002</v>
      </c>
      <c r="J2">
        <v>44188.75</v>
      </c>
      <c r="K2">
        <v>0.21</v>
      </c>
      <c r="L2">
        <v>-126.39</v>
      </c>
    </row>
    <row r="3" spans="1:12" x14ac:dyDescent="0.2">
      <c r="A3" t="s">
        <v>150</v>
      </c>
      <c r="B3" t="s">
        <v>263</v>
      </c>
      <c r="C3" t="s">
        <v>265</v>
      </c>
      <c r="D3" t="s">
        <v>216</v>
      </c>
      <c r="E3" t="s">
        <v>266</v>
      </c>
      <c r="F3" t="s">
        <v>267</v>
      </c>
      <c r="G3">
        <v>8</v>
      </c>
      <c r="H3">
        <v>378.8</v>
      </c>
      <c r="I3">
        <v>3030.4</v>
      </c>
      <c r="J3">
        <v>47215.7</v>
      </c>
      <c r="K3">
        <v>0.11</v>
      </c>
      <c r="L3">
        <v>121.22</v>
      </c>
    </row>
    <row r="4" spans="1:12" x14ac:dyDescent="0.2">
      <c r="A4" t="s">
        <v>150</v>
      </c>
      <c r="B4" t="s">
        <v>268</v>
      </c>
      <c r="C4" t="s">
        <v>264</v>
      </c>
      <c r="D4" t="s">
        <v>84</v>
      </c>
      <c r="E4" t="s">
        <v>266</v>
      </c>
      <c r="F4" t="s">
        <v>218</v>
      </c>
      <c r="G4">
        <v>97</v>
      </c>
      <c r="H4">
        <v>44.05</v>
      </c>
      <c r="I4">
        <v>4272.8500000000004</v>
      </c>
      <c r="J4">
        <v>43681.21</v>
      </c>
      <c r="K4">
        <v>0.18</v>
      </c>
      <c r="L4">
        <v>-128.19</v>
      </c>
    </row>
    <row r="5" spans="1:12" x14ac:dyDescent="0.2">
      <c r="A5" t="s">
        <v>160</v>
      </c>
      <c r="B5" t="s">
        <v>268</v>
      </c>
      <c r="C5" t="s">
        <v>269</v>
      </c>
      <c r="D5" t="s">
        <v>216</v>
      </c>
      <c r="E5" t="s">
        <v>71</v>
      </c>
      <c r="F5" t="s">
        <v>81</v>
      </c>
      <c r="G5">
        <v>18</v>
      </c>
      <c r="H5">
        <v>879</v>
      </c>
      <c r="I5">
        <v>15822</v>
      </c>
      <c r="J5">
        <v>21682.240000000002</v>
      </c>
      <c r="K5">
        <v>0.16</v>
      </c>
      <c r="L5">
        <v>-158.22</v>
      </c>
    </row>
    <row r="6" spans="1:12" x14ac:dyDescent="0.2">
      <c r="A6" t="s">
        <v>112</v>
      </c>
      <c r="B6" t="s">
        <v>268</v>
      </c>
      <c r="C6" t="s">
        <v>270</v>
      </c>
      <c r="D6" t="s">
        <v>216</v>
      </c>
      <c r="E6" t="s">
        <v>71</v>
      </c>
      <c r="F6" t="s">
        <v>87</v>
      </c>
      <c r="G6">
        <v>100</v>
      </c>
      <c r="H6">
        <v>115.65</v>
      </c>
      <c r="I6">
        <v>11565</v>
      </c>
      <c r="J6">
        <v>45480.7</v>
      </c>
      <c r="K6">
        <v>0.2</v>
      </c>
      <c r="L6">
        <v>-578.25</v>
      </c>
    </row>
    <row r="7" spans="1:12" x14ac:dyDescent="0.2">
      <c r="A7" t="s">
        <v>102</v>
      </c>
      <c r="B7" t="s">
        <v>271</v>
      </c>
      <c r="C7" t="s">
        <v>264</v>
      </c>
      <c r="D7" t="s">
        <v>69</v>
      </c>
      <c r="E7" t="s">
        <v>266</v>
      </c>
      <c r="F7" t="s">
        <v>267</v>
      </c>
      <c r="G7">
        <v>16</v>
      </c>
      <c r="H7">
        <v>951.12</v>
      </c>
      <c r="I7">
        <v>15217.92</v>
      </c>
      <c r="J7">
        <v>47164.21</v>
      </c>
      <c r="K7">
        <v>0.01</v>
      </c>
      <c r="L7">
        <v>2130.5100000000002</v>
      </c>
    </row>
    <row r="8" spans="1:12" x14ac:dyDescent="0.2">
      <c r="A8" t="s">
        <v>91</v>
      </c>
      <c r="B8" t="s">
        <v>263</v>
      </c>
      <c r="C8" t="s">
        <v>272</v>
      </c>
      <c r="D8" t="s">
        <v>273</v>
      </c>
      <c r="E8" t="s">
        <v>71</v>
      </c>
      <c r="F8" t="s">
        <v>81</v>
      </c>
      <c r="G8">
        <v>56</v>
      </c>
      <c r="H8">
        <v>995.77</v>
      </c>
      <c r="I8">
        <v>55763.12</v>
      </c>
      <c r="J8">
        <v>15252.92</v>
      </c>
      <c r="K8">
        <v>0.12</v>
      </c>
      <c r="L8">
        <v>1672.89</v>
      </c>
    </row>
    <row r="9" spans="1:12" x14ac:dyDescent="0.2">
      <c r="A9" t="s">
        <v>224</v>
      </c>
      <c r="B9" t="s">
        <v>263</v>
      </c>
      <c r="C9" t="s">
        <v>265</v>
      </c>
      <c r="D9" t="s">
        <v>73</v>
      </c>
      <c r="E9" t="s">
        <v>71</v>
      </c>
      <c r="F9" t="s">
        <v>81</v>
      </c>
      <c r="G9">
        <v>51</v>
      </c>
      <c r="H9">
        <v>616.02</v>
      </c>
      <c r="I9">
        <v>31417.02</v>
      </c>
      <c r="J9">
        <v>40047.730000000003</v>
      </c>
      <c r="K9">
        <v>0.03</v>
      </c>
      <c r="L9">
        <v>3770.04</v>
      </c>
    </row>
    <row r="10" spans="1:12" x14ac:dyDescent="0.2">
      <c r="A10" t="s">
        <v>107</v>
      </c>
      <c r="B10" t="s">
        <v>263</v>
      </c>
      <c r="C10" t="s">
        <v>269</v>
      </c>
      <c r="D10" t="s">
        <v>69</v>
      </c>
      <c r="E10" t="s">
        <v>266</v>
      </c>
      <c r="F10" t="s">
        <v>218</v>
      </c>
      <c r="G10">
        <v>28</v>
      </c>
      <c r="H10">
        <v>520.20000000000005</v>
      </c>
      <c r="I10">
        <v>14565.6</v>
      </c>
      <c r="J10">
        <v>26994.67</v>
      </c>
      <c r="K10">
        <v>0.16</v>
      </c>
      <c r="L10">
        <v>-145.66</v>
      </c>
    </row>
    <row r="11" spans="1:12" x14ac:dyDescent="0.2">
      <c r="A11" t="s">
        <v>274</v>
      </c>
      <c r="B11" t="s">
        <v>275</v>
      </c>
      <c r="C11" t="s">
        <v>272</v>
      </c>
      <c r="D11" t="s">
        <v>73</v>
      </c>
      <c r="E11" t="s">
        <v>266</v>
      </c>
      <c r="F11" t="s">
        <v>218</v>
      </c>
      <c r="G11">
        <v>36</v>
      </c>
      <c r="H11">
        <v>1157.47</v>
      </c>
      <c r="I11">
        <v>41668.92</v>
      </c>
      <c r="J11">
        <v>38634.35</v>
      </c>
      <c r="K11">
        <v>0.12</v>
      </c>
      <c r="L11">
        <v>1250.07</v>
      </c>
    </row>
    <row r="12" spans="1:12" x14ac:dyDescent="0.2">
      <c r="A12" t="s">
        <v>107</v>
      </c>
      <c r="B12" t="s">
        <v>268</v>
      </c>
      <c r="C12" t="s">
        <v>276</v>
      </c>
      <c r="D12" t="s">
        <v>223</v>
      </c>
      <c r="E12" t="s">
        <v>277</v>
      </c>
      <c r="F12" t="s">
        <v>278</v>
      </c>
      <c r="G12">
        <v>91</v>
      </c>
      <c r="H12">
        <v>560.51</v>
      </c>
      <c r="I12">
        <v>51006.41</v>
      </c>
      <c r="J12">
        <v>49304.6</v>
      </c>
      <c r="K12">
        <v>0.23</v>
      </c>
      <c r="L12">
        <v>-4080.51</v>
      </c>
    </row>
    <row r="13" spans="1:12" x14ac:dyDescent="0.2">
      <c r="A13" t="s">
        <v>279</v>
      </c>
      <c r="B13" t="s">
        <v>268</v>
      </c>
      <c r="C13" t="s">
        <v>272</v>
      </c>
      <c r="D13" t="s">
        <v>273</v>
      </c>
      <c r="E13" t="s">
        <v>71</v>
      </c>
      <c r="F13" t="s">
        <v>92</v>
      </c>
      <c r="G13">
        <v>9</v>
      </c>
      <c r="H13">
        <v>620.46</v>
      </c>
      <c r="I13">
        <v>5584.14</v>
      </c>
      <c r="J13">
        <v>44099.75</v>
      </c>
      <c r="K13">
        <v>0.03</v>
      </c>
      <c r="L13">
        <v>670.1</v>
      </c>
    </row>
    <row r="14" spans="1:12" x14ac:dyDescent="0.2">
      <c r="A14" t="s">
        <v>157</v>
      </c>
      <c r="B14" t="s">
        <v>268</v>
      </c>
      <c r="C14" t="s">
        <v>280</v>
      </c>
      <c r="D14" t="s">
        <v>73</v>
      </c>
      <c r="E14" t="s">
        <v>266</v>
      </c>
      <c r="F14" t="s">
        <v>281</v>
      </c>
      <c r="G14">
        <v>28</v>
      </c>
      <c r="H14">
        <v>1343.23</v>
      </c>
      <c r="I14">
        <v>37610.44</v>
      </c>
      <c r="J14">
        <v>19717.32</v>
      </c>
      <c r="K14">
        <v>0.22</v>
      </c>
      <c r="L14">
        <v>-2632.73</v>
      </c>
    </row>
    <row r="15" spans="1:12" x14ac:dyDescent="0.2">
      <c r="A15" t="s">
        <v>121</v>
      </c>
      <c r="B15" t="s">
        <v>275</v>
      </c>
      <c r="C15" t="s">
        <v>265</v>
      </c>
      <c r="D15" t="s">
        <v>191</v>
      </c>
      <c r="E15" t="s">
        <v>277</v>
      </c>
      <c r="F15" t="s">
        <v>282</v>
      </c>
      <c r="G15">
        <v>19</v>
      </c>
      <c r="H15">
        <v>1485.41</v>
      </c>
      <c r="I15">
        <v>28222.79</v>
      </c>
      <c r="J15">
        <v>37373.32</v>
      </c>
      <c r="K15">
        <v>0.03</v>
      </c>
      <c r="L15">
        <v>3386.73</v>
      </c>
    </row>
    <row r="16" spans="1:12" x14ac:dyDescent="0.2">
      <c r="A16" t="s">
        <v>232</v>
      </c>
      <c r="B16" t="s">
        <v>271</v>
      </c>
      <c r="C16" t="s">
        <v>269</v>
      </c>
      <c r="D16" t="s">
        <v>273</v>
      </c>
      <c r="E16" t="s">
        <v>266</v>
      </c>
      <c r="F16" t="s">
        <v>267</v>
      </c>
      <c r="G16">
        <v>39</v>
      </c>
      <c r="H16">
        <v>699.9</v>
      </c>
      <c r="I16">
        <v>27296.1</v>
      </c>
      <c r="J16">
        <v>18863.490000000002</v>
      </c>
      <c r="K16">
        <v>0.24</v>
      </c>
      <c r="L16">
        <v>-2456.65</v>
      </c>
    </row>
    <row r="17" spans="1:12" x14ac:dyDescent="0.2">
      <c r="A17" t="s">
        <v>129</v>
      </c>
      <c r="B17" t="s">
        <v>275</v>
      </c>
      <c r="C17" t="s">
        <v>264</v>
      </c>
      <c r="D17" t="s">
        <v>273</v>
      </c>
      <c r="E17" t="s">
        <v>266</v>
      </c>
      <c r="F17" t="s">
        <v>281</v>
      </c>
      <c r="G17">
        <v>61</v>
      </c>
      <c r="H17">
        <v>828.65</v>
      </c>
      <c r="I17">
        <v>50547.65</v>
      </c>
      <c r="J17">
        <v>18824.29</v>
      </c>
      <c r="K17">
        <v>0.13</v>
      </c>
      <c r="L17">
        <v>1010.95</v>
      </c>
    </row>
    <row r="18" spans="1:12" x14ac:dyDescent="0.2">
      <c r="A18" t="s">
        <v>150</v>
      </c>
      <c r="B18" t="s">
        <v>271</v>
      </c>
      <c r="C18" t="s">
        <v>270</v>
      </c>
      <c r="D18" t="s">
        <v>223</v>
      </c>
      <c r="E18" t="s">
        <v>266</v>
      </c>
      <c r="F18" t="s">
        <v>281</v>
      </c>
      <c r="G18">
        <v>9</v>
      </c>
      <c r="H18">
        <v>797.36</v>
      </c>
      <c r="I18">
        <v>7176.24</v>
      </c>
      <c r="J18">
        <v>43759.91</v>
      </c>
      <c r="K18">
        <v>0.23</v>
      </c>
      <c r="L18">
        <v>-574.1</v>
      </c>
    </row>
    <row r="19" spans="1:12" x14ac:dyDescent="0.2">
      <c r="A19" t="s">
        <v>209</v>
      </c>
      <c r="B19" t="s">
        <v>271</v>
      </c>
      <c r="C19" t="s">
        <v>283</v>
      </c>
      <c r="D19" t="s">
        <v>73</v>
      </c>
      <c r="E19" t="s">
        <v>266</v>
      </c>
      <c r="F19" t="s">
        <v>267</v>
      </c>
      <c r="G19">
        <v>71</v>
      </c>
      <c r="H19">
        <v>1165.93</v>
      </c>
      <c r="I19">
        <v>82781.03</v>
      </c>
      <c r="J19">
        <v>9829.76</v>
      </c>
      <c r="K19">
        <v>0.18</v>
      </c>
      <c r="L19">
        <v>-2483.4299999999998</v>
      </c>
    </row>
    <row r="20" spans="1:12" x14ac:dyDescent="0.2">
      <c r="A20" t="s">
        <v>148</v>
      </c>
      <c r="B20" t="s">
        <v>275</v>
      </c>
      <c r="C20" t="s">
        <v>276</v>
      </c>
      <c r="D20" t="s">
        <v>73</v>
      </c>
      <c r="E20" t="s">
        <v>277</v>
      </c>
      <c r="F20" t="s">
        <v>282</v>
      </c>
      <c r="G20">
        <v>42</v>
      </c>
      <c r="H20">
        <v>861.83</v>
      </c>
      <c r="I20">
        <v>36196.86</v>
      </c>
      <c r="J20">
        <v>26550.22</v>
      </c>
      <c r="K20">
        <v>7.0000000000000007E-2</v>
      </c>
      <c r="L20">
        <v>2895.75</v>
      </c>
    </row>
    <row r="21" spans="1:12" ht="15.75" customHeight="1" x14ac:dyDescent="0.2">
      <c r="A21" t="s">
        <v>236</v>
      </c>
      <c r="B21" t="s">
        <v>271</v>
      </c>
      <c r="C21" t="s">
        <v>269</v>
      </c>
      <c r="D21" t="s">
        <v>191</v>
      </c>
      <c r="E21" t="s">
        <v>277</v>
      </c>
      <c r="F21" t="s">
        <v>284</v>
      </c>
      <c r="G21">
        <v>34</v>
      </c>
      <c r="H21">
        <v>934.75</v>
      </c>
      <c r="I21">
        <v>31781.5</v>
      </c>
      <c r="J21">
        <v>18367</v>
      </c>
      <c r="K21">
        <v>0.15</v>
      </c>
      <c r="L21">
        <v>0</v>
      </c>
    </row>
    <row r="22" spans="1:12" ht="15.75" customHeight="1" x14ac:dyDescent="0.2">
      <c r="A22" t="s">
        <v>279</v>
      </c>
      <c r="B22" t="s">
        <v>268</v>
      </c>
      <c r="C22" t="s">
        <v>269</v>
      </c>
      <c r="D22" t="s">
        <v>191</v>
      </c>
      <c r="E22" t="s">
        <v>266</v>
      </c>
      <c r="F22" t="s">
        <v>281</v>
      </c>
      <c r="G22">
        <v>74</v>
      </c>
      <c r="H22">
        <v>442.3</v>
      </c>
      <c r="I22">
        <v>32730.2</v>
      </c>
      <c r="J22">
        <v>32156.51</v>
      </c>
      <c r="K22">
        <v>0.06</v>
      </c>
      <c r="L22">
        <v>2945.72</v>
      </c>
    </row>
    <row r="23" spans="1:12" ht="15.75" customHeight="1" x14ac:dyDescent="0.2">
      <c r="A23" t="s">
        <v>285</v>
      </c>
      <c r="B23" t="s">
        <v>268</v>
      </c>
      <c r="C23" t="s">
        <v>283</v>
      </c>
      <c r="D23" t="s">
        <v>73</v>
      </c>
      <c r="E23" t="s">
        <v>277</v>
      </c>
      <c r="F23" t="s">
        <v>282</v>
      </c>
      <c r="G23">
        <v>98</v>
      </c>
      <c r="H23">
        <v>74.23</v>
      </c>
      <c r="I23">
        <v>7274.54</v>
      </c>
      <c r="J23">
        <v>41986.54</v>
      </c>
      <c r="K23">
        <v>0.18</v>
      </c>
      <c r="L23">
        <v>-218.24</v>
      </c>
    </row>
    <row r="24" spans="1:12" ht="15.75" customHeight="1" x14ac:dyDescent="0.2">
      <c r="A24" t="s">
        <v>286</v>
      </c>
      <c r="B24" t="s">
        <v>263</v>
      </c>
      <c r="C24" t="s">
        <v>276</v>
      </c>
      <c r="D24" t="s">
        <v>69</v>
      </c>
      <c r="E24" t="s">
        <v>277</v>
      </c>
      <c r="F24" t="s">
        <v>282</v>
      </c>
      <c r="G24">
        <v>96</v>
      </c>
      <c r="H24">
        <v>642.29999999999995</v>
      </c>
      <c r="I24">
        <v>61660.800000000003</v>
      </c>
      <c r="J24">
        <v>33209.64</v>
      </c>
      <c r="K24">
        <v>0.02</v>
      </c>
      <c r="L24">
        <v>8015.9</v>
      </c>
    </row>
    <row r="25" spans="1:12" ht="15.75" customHeight="1" x14ac:dyDescent="0.2">
      <c r="A25" t="s">
        <v>174</v>
      </c>
      <c r="B25" t="s">
        <v>268</v>
      </c>
      <c r="C25" t="s">
        <v>269</v>
      </c>
      <c r="D25" t="s">
        <v>73</v>
      </c>
      <c r="E25" t="s">
        <v>266</v>
      </c>
      <c r="F25" t="s">
        <v>281</v>
      </c>
      <c r="G25">
        <v>14</v>
      </c>
      <c r="H25">
        <v>1300</v>
      </c>
      <c r="I25">
        <v>18200</v>
      </c>
      <c r="J25">
        <v>22528.65</v>
      </c>
      <c r="K25">
        <v>0.09</v>
      </c>
      <c r="L25">
        <v>1092</v>
      </c>
    </row>
    <row r="26" spans="1:12" ht="15.75" customHeight="1" x14ac:dyDescent="0.2">
      <c r="A26" t="s">
        <v>112</v>
      </c>
      <c r="B26" t="s">
        <v>271</v>
      </c>
      <c r="C26" t="s">
        <v>269</v>
      </c>
      <c r="D26" t="s">
        <v>69</v>
      </c>
      <c r="E26" t="s">
        <v>277</v>
      </c>
      <c r="F26" t="s">
        <v>282</v>
      </c>
      <c r="G26">
        <v>40</v>
      </c>
      <c r="H26">
        <v>1119.93</v>
      </c>
      <c r="I26">
        <v>44797.2</v>
      </c>
      <c r="J26">
        <v>40255.15</v>
      </c>
      <c r="K26">
        <v>0.14000000000000001</v>
      </c>
      <c r="L26">
        <v>447.97</v>
      </c>
    </row>
    <row r="27" spans="1:12" ht="15.75" customHeight="1" x14ac:dyDescent="0.2">
      <c r="A27" t="s">
        <v>163</v>
      </c>
      <c r="B27" t="s">
        <v>263</v>
      </c>
      <c r="C27" t="s">
        <v>269</v>
      </c>
      <c r="D27" t="s">
        <v>80</v>
      </c>
      <c r="E27" t="s">
        <v>71</v>
      </c>
      <c r="F27" t="s">
        <v>70</v>
      </c>
      <c r="G27">
        <v>26</v>
      </c>
      <c r="H27">
        <v>1160.44</v>
      </c>
      <c r="I27">
        <v>30171.439999999999</v>
      </c>
      <c r="J27">
        <v>25622.47</v>
      </c>
      <c r="K27">
        <v>0.04</v>
      </c>
      <c r="L27">
        <v>3318.86</v>
      </c>
    </row>
    <row r="28" spans="1:12" ht="15.75" customHeight="1" x14ac:dyDescent="0.2">
      <c r="A28" t="s">
        <v>177</v>
      </c>
      <c r="B28" t="s">
        <v>268</v>
      </c>
      <c r="C28" t="s">
        <v>280</v>
      </c>
      <c r="D28" t="s">
        <v>69</v>
      </c>
      <c r="E28" t="s">
        <v>71</v>
      </c>
      <c r="F28" t="s">
        <v>70</v>
      </c>
      <c r="G28">
        <v>78</v>
      </c>
      <c r="H28">
        <v>826.44</v>
      </c>
      <c r="I28">
        <v>64462.32</v>
      </c>
      <c r="J28">
        <v>30129.51</v>
      </c>
      <c r="K28">
        <v>0.17</v>
      </c>
      <c r="L28">
        <v>-1289.25</v>
      </c>
    </row>
    <row r="29" spans="1:12" ht="15.75" customHeight="1" x14ac:dyDescent="0.2">
      <c r="A29" t="s">
        <v>285</v>
      </c>
      <c r="B29" t="s">
        <v>263</v>
      </c>
      <c r="C29" t="s">
        <v>276</v>
      </c>
      <c r="D29" t="s">
        <v>191</v>
      </c>
      <c r="E29" t="s">
        <v>71</v>
      </c>
      <c r="F29" t="s">
        <v>81</v>
      </c>
      <c r="G29">
        <v>97</v>
      </c>
      <c r="H29">
        <v>1347.62</v>
      </c>
      <c r="I29">
        <v>130719.14</v>
      </c>
      <c r="J29">
        <v>37748.26</v>
      </c>
      <c r="K29">
        <v>0.16</v>
      </c>
      <c r="L29">
        <v>-1307.19</v>
      </c>
    </row>
    <row r="30" spans="1:12" ht="15.75" customHeight="1" x14ac:dyDescent="0.2">
      <c r="A30" t="s">
        <v>287</v>
      </c>
      <c r="B30" t="s">
        <v>271</v>
      </c>
      <c r="C30" t="s">
        <v>272</v>
      </c>
      <c r="D30" t="s">
        <v>80</v>
      </c>
      <c r="E30" t="s">
        <v>266</v>
      </c>
      <c r="F30" t="s">
        <v>218</v>
      </c>
      <c r="G30">
        <v>32</v>
      </c>
      <c r="H30">
        <v>388.21</v>
      </c>
      <c r="I30">
        <v>12422.72</v>
      </c>
      <c r="J30">
        <v>29712.03</v>
      </c>
      <c r="K30">
        <v>0.12</v>
      </c>
      <c r="L30">
        <v>372.68</v>
      </c>
    </row>
    <row r="31" spans="1:12" ht="15.75" customHeight="1" x14ac:dyDescent="0.2">
      <c r="A31" t="s">
        <v>288</v>
      </c>
      <c r="B31" t="s">
        <v>275</v>
      </c>
      <c r="C31" t="s">
        <v>280</v>
      </c>
      <c r="D31" t="s">
        <v>191</v>
      </c>
      <c r="E31" t="s">
        <v>277</v>
      </c>
      <c r="F31" t="s">
        <v>284</v>
      </c>
      <c r="G31">
        <v>38</v>
      </c>
      <c r="H31">
        <v>1173.56</v>
      </c>
      <c r="I31">
        <v>44595.28</v>
      </c>
      <c r="J31">
        <v>15709.93</v>
      </c>
      <c r="K31">
        <v>0</v>
      </c>
      <c r="L31">
        <v>6689.29</v>
      </c>
    </row>
    <row r="32" spans="1:12" ht="15.75" customHeight="1" x14ac:dyDescent="0.2">
      <c r="A32" t="s">
        <v>115</v>
      </c>
      <c r="B32" t="s">
        <v>275</v>
      </c>
      <c r="C32" t="s">
        <v>264</v>
      </c>
      <c r="D32" t="s">
        <v>273</v>
      </c>
      <c r="E32" t="s">
        <v>71</v>
      </c>
      <c r="F32" t="s">
        <v>87</v>
      </c>
      <c r="G32">
        <v>26</v>
      </c>
      <c r="H32">
        <v>113.47</v>
      </c>
      <c r="I32">
        <v>2950.22</v>
      </c>
      <c r="J32">
        <v>11171.66</v>
      </c>
      <c r="K32">
        <v>0.09</v>
      </c>
      <c r="L32">
        <v>177.01</v>
      </c>
    </row>
    <row r="33" spans="1:12" ht="15.75" customHeight="1" x14ac:dyDescent="0.2">
      <c r="A33" t="s">
        <v>128</v>
      </c>
      <c r="B33" t="s">
        <v>271</v>
      </c>
      <c r="C33" t="s">
        <v>272</v>
      </c>
      <c r="D33" t="s">
        <v>216</v>
      </c>
      <c r="E33" t="s">
        <v>277</v>
      </c>
      <c r="F33" t="s">
        <v>282</v>
      </c>
      <c r="G33">
        <v>36</v>
      </c>
      <c r="H33">
        <v>37.01</v>
      </c>
      <c r="I33">
        <v>1332.36</v>
      </c>
      <c r="J33">
        <v>30145.63</v>
      </c>
      <c r="K33">
        <v>0.11</v>
      </c>
      <c r="L33">
        <v>53.29</v>
      </c>
    </row>
    <row r="34" spans="1:12" ht="15.75" customHeight="1" x14ac:dyDescent="0.2">
      <c r="A34" t="s">
        <v>224</v>
      </c>
      <c r="B34" t="s">
        <v>268</v>
      </c>
      <c r="C34" t="s">
        <v>269</v>
      </c>
      <c r="D34" t="s">
        <v>80</v>
      </c>
      <c r="E34" t="s">
        <v>71</v>
      </c>
      <c r="F34" t="s">
        <v>92</v>
      </c>
      <c r="G34">
        <v>46</v>
      </c>
      <c r="H34">
        <v>1113.45</v>
      </c>
      <c r="I34">
        <v>51218.7</v>
      </c>
      <c r="J34">
        <v>22712.35</v>
      </c>
      <c r="K34">
        <v>0.06</v>
      </c>
      <c r="L34">
        <v>4609.68</v>
      </c>
    </row>
    <row r="35" spans="1:12" ht="15.75" customHeight="1" x14ac:dyDescent="0.2">
      <c r="A35" t="s">
        <v>289</v>
      </c>
      <c r="B35" t="s">
        <v>268</v>
      </c>
      <c r="C35" t="s">
        <v>280</v>
      </c>
      <c r="D35" t="s">
        <v>73</v>
      </c>
      <c r="E35" t="s">
        <v>277</v>
      </c>
      <c r="F35" t="s">
        <v>278</v>
      </c>
      <c r="G35">
        <v>80</v>
      </c>
      <c r="H35">
        <v>1188.83</v>
      </c>
      <c r="I35">
        <v>95106.4</v>
      </c>
      <c r="J35">
        <v>23668.71</v>
      </c>
      <c r="K35">
        <v>7.0000000000000007E-2</v>
      </c>
      <c r="L35">
        <v>7608.51</v>
      </c>
    </row>
    <row r="36" spans="1:12" ht="15.75" customHeight="1" x14ac:dyDescent="0.2">
      <c r="A36" t="s">
        <v>290</v>
      </c>
      <c r="B36" t="s">
        <v>275</v>
      </c>
      <c r="C36" t="s">
        <v>264</v>
      </c>
      <c r="D36" t="s">
        <v>73</v>
      </c>
      <c r="E36" t="s">
        <v>277</v>
      </c>
      <c r="F36" t="s">
        <v>284</v>
      </c>
      <c r="G36">
        <v>22</v>
      </c>
      <c r="H36">
        <v>1447.31</v>
      </c>
      <c r="I36">
        <v>31840.82</v>
      </c>
      <c r="J36">
        <v>32523.01</v>
      </c>
      <c r="K36">
        <v>0.21</v>
      </c>
      <c r="L36">
        <v>-1910.45</v>
      </c>
    </row>
    <row r="37" spans="1:12" ht="15.75" customHeight="1" x14ac:dyDescent="0.2">
      <c r="A37" t="s">
        <v>91</v>
      </c>
      <c r="B37" t="s">
        <v>263</v>
      </c>
      <c r="C37" t="s">
        <v>269</v>
      </c>
      <c r="D37" t="s">
        <v>80</v>
      </c>
      <c r="E37" t="s">
        <v>266</v>
      </c>
      <c r="F37" t="s">
        <v>218</v>
      </c>
      <c r="G37">
        <v>93</v>
      </c>
      <c r="H37">
        <v>926.69</v>
      </c>
      <c r="I37">
        <v>86182.17</v>
      </c>
      <c r="J37">
        <v>20945.48</v>
      </c>
      <c r="K37">
        <v>0.11</v>
      </c>
      <c r="L37">
        <v>3447.29</v>
      </c>
    </row>
    <row r="38" spans="1:12" ht="15.75" customHeight="1" x14ac:dyDescent="0.2">
      <c r="A38" t="s">
        <v>174</v>
      </c>
      <c r="B38" t="s">
        <v>275</v>
      </c>
      <c r="C38" t="s">
        <v>283</v>
      </c>
      <c r="D38" t="s">
        <v>273</v>
      </c>
      <c r="E38" t="s">
        <v>266</v>
      </c>
      <c r="F38" t="s">
        <v>267</v>
      </c>
      <c r="G38">
        <v>13</v>
      </c>
      <c r="H38">
        <v>304.76</v>
      </c>
      <c r="I38">
        <v>3961.88</v>
      </c>
      <c r="J38">
        <v>17827.28</v>
      </c>
      <c r="K38">
        <v>0.25</v>
      </c>
      <c r="L38">
        <v>-396.19</v>
      </c>
    </row>
    <row r="39" spans="1:12" ht="15.75" customHeight="1" x14ac:dyDescent="0.2">
      <c r="A39" t="s">
        <v>108</v>
      </c>
      <c r="B39" t="s">
        <v>275</v>
      </c>
      <c r="C39" t="s">
        <v>265</v>
      </c>
      <c r="D39" t="s">
        <v>73</v>
      </c>
      <c r="E39" t="s">
        <v>277</v>
      </c>
      <c r="F39" t="s">
        <v>278</v>
      </c>
      <c r="G39">
        <v>77</v>
      </c>
      <c r="H39">
        <v>716.3</v>
      </c>
      <c r="I39">
        <v>55155.1</v>
      </c>
      <c r="J39">
        <v>46379.35</v>
      </c>
      <c r="K39">
        <v>0.11</v>
      </c>
      <c r="L39">
        <v>2206.1999999999998</v>
      </c>
    </row>
    <row r="40" spans="1:12" ht="15.75" customHeight="1" x14ac:dyDescent="0.2">
      <c r="A40" t="s">
        <v>83</v>
      </c>
      <c r="B40" t="s">
        <v>268</v>
      </c>
      <c r="C40" t="s">
        <v>264</v>
      </c>
      <c r="D40" t="s">
        <v>223</v>
      </c>
      <c r="E40" t="s">
        <v>277</v>
      </c>
      <c r="F40" t="s">
        <v>284</v>
      </c>
      <c r="G40">
        <v>42</v>
      </c>
      <c r="H40">
        <v>1198.6500000000001</v>
      </c>
      <c r="I40">
        <v>50343.3</v>
      </c>
      <c r="J40">
        <v>49488.66</v>
      </c>
      <c r="K40">
        <v>0.15</v>
      </c>
      <c r="L40">
        <v>0</v>
      </c>
    </row>
    <row r="41" spans="1:12" ht="15.75" customHeight="1" x14ac:dyDescent="0.2">
      <c r="A41" t="s">
        <v>75</v>
      </c>
      <c r="B41" t="s">
        <v>268</v>
      </c>
      <c r="C41" t="s">
        <v>276</v>
      </c>
      <c r="D41" t="s">
        <v>84</v>
      </c>
      <c r="E41" t="s">
        <v>277</v>
      </c>
      <c r="F41" t="s">
        <v>278</v>
      </c>
      <c r="G41">
        <v>42</v>
      </c>
      <c r="H41">
        <v>1057.8900000000001</v>
      </c>
      <c r="I41">
        <v>44431.38</v>
      </c>
      <c r="J41">
        <v>28872.28</v>
      </c>
      <c r="K41">
        <v>0.17</v>
      </c>
      <c r="L41">
        <v>-888.63</v>
      </c>
    </row>
    <row r="42" spans="1:12" ht="15.75" customHeight="1" x14ac:dyDescent="0.2">
      <c r="A42" t="s">
        <v>291</v>
      </c>
      <c r="B42" t="s">
        <v>263</v>
      </c>
      <c r="C42" t="s">
        <v>283</v>
      </c>
      <c r="D42" t="s">
        <v>80</v>
      </c>
      <c r="E42" t="s">
        <v>266</v>
      </c>
      <c r="F42" t="s">
        <v>267</v>
      </c>
      <c r="G42">
        <v>67</v>
      </c>
      <c r="H42">
        <v>526.41</v>
      </c>
      <c r="I42">
        <v>35269.47</v>
      </c>
      <c r="J42">
        <v>36615.15</v>
      </c>
      <c r="K42">
        <v>0.04</v>
      </c>
      <c r="L42">
        <v>3879.64</v>
      </c>
    </row>
    <row r="43" spans="1:12" ht="15.75" customHeight="1" x14ac:dyDescent="0.2">
      <c r="A43" t="s">
        <v>120</v>
      </c>
      <c r="B43" t="s">
        <v>271</v>
      </c>
      <c r="C43" t="s">
        <v>265</v>
      </c>
      <c r="D43" t="s">
        <v>80</v>
      </c>
      <c r="E43" t="s">
        <v>71</v>
      </c>
      <c r="F43" t="s">
        <v>81</v>
      </c>
      <c r="G43">
        <v>96</v>
      </c>
      <c r="H43">
        <v>1006.28</v>
      </c>
      <c r="I43">
        <v>96602.880000000005</v>
      </c>
      <c r="J43">
        <v>11483.51</v>
      </c>
      <c r="K43">
        <v>0.08</v>
      </c>
      <c r="L43">
        <v>6762.2</v>
      </c>
    </row>
    <row r="44" spans="1:12" ht="15.75" customHeight="1" x14ac:dyDescent="0.2">
      <c r="A44" t="s">
        <v>126</v>
      </c>
      <c r="B44" t="s">
        <v>263</v>
      </c>
      <c r="C44" t="s">
        <v>265</v>
      </c>
      <c r="D44" t="s">
        <v>216</v>
      </c>
      <c r="E44" t="s">
        <v>71</v>
      </c>
      <c r="F44" t="s">
        <v>81</v>
      </c>
      <c r="G44">
        <v>13</v>
      </c>
      <c r="H44">
        <v>1023.08</v>
      </c>
      <c r="I44">
        <v>13300.04</v>
      </c>
      <c r="J44">
        <v>15267.83</v>
      </c>
      <c r="K44">
        <v>0.11</v>
      </c>
      <c r="L44">
        <v>532</v>
      </c>
    </row>
    <row r="45" spans="1:12" ht="15.75" customHeight="1" x14ac:dyDescent="0.2">
      <c r="A45" t="s">
        <v>147</v>
      </c>
      <c r="B45" t="s">
        <v>268</v>
      </c>
      <c r="C45" t="s">
        <v>265</v>
      </c>
      <c r="D45" t="s">
        <v>73</v>
      </c>
      <c r="E45" t="s">
        <v>277</v>
      </c>
      <c r="F45" t="s">
        <v>282</v>
      </c>
      <c r="G45">
        <v>45</v>
      </c>
      <c r="H45">
        <v>533.17999999999995</v>
      </c>
      <c r="I45">
        <v>23993.1</v>
      </c>
      <c r="J45">
        <v>44471.7</v>
      </c>
      <c r="K45">
        <v>0.21</v>
      </c>
      <c r="L45">
        <v>-1439.59</v>
      </c>
    </row>
    <row r="46" spans="1:12" ht="15.75" customHeight="1" x14ac:dyDescent="0.2">
      <c r="A46" t="s">
        <v>289</v>
      </c>
      <c r="B46" t="s">
        <v>271</v>
      </c>
      <c r="C46" t="s">
        <v>265</v>
      </c>
      <c r="D46" t="s">
        <v>80</v>
      </c>
      <c r="E46" t="s">
        <v>266</v>
      </c>
      <c r="F46" t="s">
        <v>281</v>
      </c>
      <c r="G46">
        <v>39</v>
      </c>
      <c r="H46">
        <v>1186.28</v>
      </c>
      <c r="I46">
        <v>46264.92</v>
      </c>
      <c r="J46">
        <v>10619.65</v>
      </c>
      <c r="K46">
        <v>0.09</v>
      </c>
      <c r="L46">
        <v>2775.9</v>
      </c>
    </row>
    <row r="47" spans="1:12" ht="15.75" customHeight="1" x14ac:dyDescent="0.2">
      <c r="A47" t="s">
        <v>206</v>
      </c>
      <c r="B47" t="s">
        <v>271</v>
      </c>
      <c r="C47" t="s">
        <v>280</v>
      </c>
      <c r="D47" t="s">
        <v>216</v>
      </c>
      <c r="E47" t="s">
        <v>277</v>
      </c>
      <c r="F47" t="s">
        <v>284</v>
      </c>
      <c r="G47">
        <v>65</v>
      </c>
      <c r="H47">
        <v>849.4</v>
      </c>
      <c r="I47">
        <v>55211</v>
      </c>
      <c r="J47">
        <v>31138.98</v>
      </c>
      <c r="K47">
        <v>0.2</v>
      </c>
      <c r="L47">
        <v>-2760.55</v>
      </c>
    </row>
    <row r="48" spans="1:12" ht="15.75" customHeight="1" x14ac:dyDescent="0.2">
      <c r="A48" t="s">
        <v>146</v>
      </c>
      <c r="B48" t="s">
        <v>263</v>
      </c>
      <c r="C48" t="s">
        <v>283</v>
      </c>
      <c r="D48" t="s">
        <v>80</v>
      </c>
      <c r="E48" t="s">
        <v>266</v>
      </c>
      <c r="F48" t="s">
        <v>267</v>
      </c>
      <c r="G48">
        <v>44</v>
      </c>
      <c r="H48">
        <v>725.75</v>
      </c>
      <c r="I48">
        <v>31933</v>
      </c>
      <c r="J48">
        <v>37365.64</v>
      </c>
      <c r="K48">
        <v>0.23</v>
      </c>
      <c r="L48">
        <v>-2554.64</v>
      </c>
    </row>
    <row r="49" spans="1:12" ht="15.75" customHeight="1" x14ac:dyDescent="0.2">
      <c r="A49" t="s">
        <v>237</v>
      </c>
      <c r="B49" t="s">
        <v>271</v>
      </c>
      <c r="C49" t="s">
        <v>283</v>
      </c>
      <c r="D49" t="s">
        <v>69</v>
      </c>
      <c r="E49" t="s">
        <v>266</v>
      </c>
      <c r="F49" t="s">
        <v>218</v>
      </c>
      <c r="G49">
        <v>38</v>
      </c>
      <c r="H49">
        <v>1406.96</v>
      </c>
      <c r="I49">
        <v>53464.480000000003</v>
      </c>
      <c r="J49">
        <v>11175.63</v>
      </c>
      <c r="K49">
        <v>0.25</v>
      </c>
      <c r="L49">
        <v>-5346.45</v>
      </c>
    </row>
    <row r="50" spans="1:12" ht="15.75" customHeight="1" x14ac:dyDescent="0.2">
      <c r="A50" t="s">
        <v>156</v>
      </c>
      <c r="B50" t="s">
        <v>268</v>
      </c>
      <c r="C50" t="s">
        <v>264</v>
      </c>
      <c r="D50" t="s">
        <v>69</v>
      </c>
      <c r="E50" t="s">
        <v>266</v>
      </c>
      <c r="F50" t="s">
        <v>218</v>
      </c>
      <c r="G50">
        <v>10</v>
      </c>
      <c r="H50">
        <v>902.03</v>
      </c>
      <c r="I50">
        <v>9020.2999999999993</v>
      </c>
      <c r="J50">
        <v>14370.74</v>
      </c>
      <c r="K50">
        <v>0.14000000000000001</v>
      </c>
      <c r="L50">
        <v>90.2</v>
      </c>
    </row>
    <row r="51" spans="1:12" ht="15.75" customHeight="1" x14ac:dyDescent="0.2">
      <c r="A51" t="s">
        <v>227</v>
      </c>
      <c r="B51" t="s">
        <v>271</v>
      </c>
      <c r="C51" t="s">
        <v>270</v>
      </c>
      <c r="D51" t="s">
        <v>223</v>
      </c>
      <c r="E51" t="s">
        <v>266</v>
      </c>
      <c r="F51" t="s">
        <v>267</v>
      </c>
      <c r="G51">
        <v>67</v>
      </c>
      <c r="H51">
        <v>712.09</v>
      </c>
      <c r="I51">
        <v>47710.03</v>
      </c>
      <c r="J51">
        <v>5997.78</v>
      </c>
      <c r="K51">
        <v>7.0000000000000007E-2</v>
      </c>
      <c r="L51">
        <v>3816.8</v>
      </c>
    </row>
    <row r="52" spans="1:12" ht="15.75" customHeight="1" x14ac:dyDescent="0.2">
      <c r="A52" t="s">
        <v>230</v>
      </c>
      <c r="B52" t="s">
        <v>268</v>
      </c>
      <c r="C52" t="s">
        <v>264</v>
      </c>
      <c r="D52" t="s">
        <v>69</v>
      </c>
      <c r="E52" t="s">
        <v>71</v>
      </c>
      <c r="F52" t="s">
        <v>70</v>
      </c>
      <c r="G52">
        <v>66</v>
      </c>
      <c r="H52">
        <v>1023.64</v>
      </c>
      <c r="I52">
        <v>67560.240000000005</v>
      </c>
      <c r="J52">
        <v>11758.41</v>
      </c>
      <c r="K52">
        <v>0.13</v>
      </c>
      <c r="L52">
        <v>1351.2</v>
      </c>
    </row>
    <row r="53" spans="1:12" ht="15.75" customHeight="1" x14ac:dyDescent="0.2">
      <c r="A53" t="s">
        <v>86</v>
      </c>
      <c r="B53" t="s">
        <v>271</v>
      </c>
      <c r="C53" t="s">
        <v>264</v>
      </c>
      <c r="D53" t="s">
        <v>73</v>
      </c>
      <c r="E53" t="s">
        <v>71</v>
      </c>
      <c r="F53" t="s">
        <v>81</v>
      </c>
      <c r="G53">
        <v>31</v>
      </c>
      <c r="H53">
        <v>642.1</v>
      </c>
      <c r="I53">
        <v>19905.099999999999</v>
      </c>
      <c r="J53">
        <v>35205.769999999997</v>
      </c>
      <c r="K53">
        <v>0.15</v>
      </c>
      <c r="L53">
        <v>0</v>
      </c>
    </row>
    <row r="54" spans="1:12" ht="15.75" customHeight="1" x14ac:dyDescent="0.2">
      <c r="A54" t="s">
        <v>150</v>
      </c>
      <c r="B54" t="s">
        <v>271</v>
      </c>
      <c r="C54" t="s">
        <v>272</v>
      </c>
      <c r="D54" t="s">
        <v>73</v>
      </c>
      <c r="E54" t="s">
        <v>277</v>
      </c>
      <c r="F54" t="s">
        <v>284</v>
      </c>
      <c r="G54">
        <v>25</v>
      </c>
      <c r="H54">
        <v>1280.6400000000001</v>
      </c>
      <c r="I54">
        <v>32016</v>
      </c>
      <c r="J54">
        <v>28921.58</v>
      </c>
      <c r="K54">
        <v>0.16</v>
      </c>
      <c r="L54">
        <v>-320.16000000000003</v>
      </c>
    </row>
    <row r="55" spans="1:12" ht="15.75" customHeight="1" x14ac:dyDescent="0.2">
      <c r="A55" t="s">
        <v>236</v>
      </c>
      <c r="B55" t="s">
        <v>275</v>
      </c>
      <c r="C55" t="s">
        <v>280</v>
      </c>
      <c r="D55" t="s">
        <v>191</v>
      </c>
      <c r="E55" t="s">
        <v>71</v>
      </c>
      <c r="F55" t="s">
        <v>70</v>
      </c>
      <c r="G55">
        <v>86</v>
      </c>
      <c r="H55">
        <v>1452.69</v>
      </c>
      <c r="I55">
        <v>124931.34</v>
      </c>
      <c r="J55">
        <v>46656.18</v>
      </c>
      <c r="K55">
        <v>0.1</v>
      </c>
      <c r="L55">
        <v>6246.57</v>
      </c>
    </row>
    <row r="56" spans="1:12" ht="15.75" customHeight="1" x14ac:dyDescent="0.2">
      <c r="A56" t="s">
        <v>211</v>
      </c>
      <c r="B56" t="s">
        <v>263</v>
      </c>
      <c r="C56" t="s">
        <v>270</v>
      </c>
      <c r="D56" t="s">
        <v>191</v>
      </c>
      <c r="E56" t="s">
        <v>266</v>
      </c>
      <c r="F56" t="s">
        <v>281</v>
      </c>
      <c r="G56">
        <v>91</v>
      </c>
      <c r="H56">
        <v>1291.33</v>
      </c>
      <c r="I56">
        <v>117511.03</v>
      </c>
      <c r="J56">
        <v>48666.23</v>
      </c>
      <c r="K56">
        <v>0.13</v>
      </c>
      <c r="L56">
        <v>2350.2199999999998</v>
      </c>
    </row>
    <row r="57" spans="1:12" ht="15.75" customHeight="1" x14ac:dyDescent="0.2">
      <c r="A57" t="s">
        <v>169</v>
      </c>
      <c r="B57" t="s">
        <v>268</v>
      </c>
      <c r="C57" t="s">
        <v>272</v>
      </c>
      <c r="D57" t="s">
        <v>216</v>
      </c>
      <c r="E57" t="s">
        <v>71</v>
      </c>
      <c r="F57" t="s">
        <v>70</v>
      </c>
      <c r="G57">
        <v>56</v>
      </c>
      <c r="H57">
        <v>671.02</v>
      </c>
      <c r="I57">
        <v>37577.120000000003</v>
      </c>
      <c r="J57">
        <v>33921.01</v>
      </c>
      <c r="K57">
        <v>0.01</v>
      </c>
      <c r="L57">
        <v>5260.8</v>
      </c>
    </row>
    <row r="58" spans="1:12" ht="15.75" customHeight="1" x14ac:dyDescent="0.2">
      <c r="A58" t="s">
        <v>287</v>
      </c>
      <c r="B58" t="s">
        <v>271</v>
      </c>
      <c r="C58" t="s">
        <v>264</v>
      </c>
      <c r="D58" t="s">
        <v>216</v>
      </c>
      <c r="E58" t="s">
        <v>71</v>
      </c>
      <c r="F58" t="s">
        <v>92</v>
      </c>
      <c r="G58">
        <v>62</v>
      </c>
      <c r="H58">
        <v>988.6</v>
      </c>
      <c r="I58">
        <v>61293.2</v>
      </c>
      <c r="J58">
        <v>9106.94</v>
      </c>
      <c r="K58">
        <v>0.2</v>
      </c>
      <c r="L58">
        <v>-3064.66</v>
      </c>
    </row>
    <row r="59" spans="1:12" ht="15.75" customHeight="1" x14ac:dyDescent="0.2">
      <c r="A59" t="s">
        <v>151</v>
      </c>
      <c r="B59" t="s">
        <v>275</v>
      </c>
      <c r="C59" t="s">
        <v>276</v>
      </c>
      <c r="D59" t="s">
        <v>73</v>
      </c>
      <c r="E59" t="s">
        <v>71</v>
      </c>
      <c r="F59" t="s">
        <v>87</v>
      </c>
      <c r="G59">
        <v>75</v>
      </c>
      <c r="H59">
        <v>1201.9000000000001</v>
      </c>
      <c r="I59">
        <v>90142.5</v>
      </c>
      <c r="J59">
        <v>38129.279999999999</v>
      </c>
      <c r="K59">
        <v>0.22</v>
      </c>
      <c r="L59">
        <v>-6309.98</v>
      </c>
    </row>
    <row r="60" spans="1:12" ht="15.75" customHeight="1" x14ac:dyDescent="0.2">
      <c r="A60" t="s">
        <v>292</v>
      </c>
      <c r="B60" t="s">
        <v>275</v>
      </c>
      <c r="C60" t="s">
        <v>272</v>
      </c>
      <c r="D60" t="s">
        <v>84</v>
      </c>
      <c r="E60" t="s">
        <v>71</v>
      </c>
      <c r="F60" t="s">
        <v>92</v>
      </c>
      <c r="G60">
        <v>84</v>
      </c>
      <c r="H60">
        <v>135.51</v>
      </c>
      <c r="I60">
        <v>11382.84</v>
      </c>
      <c r="J60">
        <v>39831.089999999997</v>
      </c>
      <c r="K60">
        <v>0.24</v>
      </c>
      <c r="L60">
        <v>-1024.46</v>
      </c>
    </row>
    <row r="61" spans="1:12" ht="15.75" customHeight="1" x14ac:dyDescent="0.2">
      <c r="A61" t="s">
        <v>170</v>
      </c>
      <c r="B61" t="s">
        <v>268</v>
      </c>
      <c r="C61" t="s">
        <v>272</v>
      </c>
      <c r="D61" t="s">
        <v>273</v>
      </c>
      <c r="E61" t="s">
        <v>266</v>
      </c>
      <c r="F61" t="s">
        <v>281</v>
      </c>
      <c r="G61">
        <v>56</v>
      </c>
      <c r="H61">
        <v>559.79999999999995</v>
      </c>
      <c r="I61">
        <v>31348.799999999999</v>
      </c>
      <c r="J61">
        <v>17742.939999999999</v>
      </c>
      <c r="K61">
        <v>0.15</v>
      </c>
      <c r="L61">
        <v>0</v>
      </c>
    </row>
    <row r="62" spans="1:12" ht="15.75" customHeight="1" x14ac:dyDescent="0.2">
      <c r="A62" t="s">
        <v>178</v>
      </c>
      <c r="B62" t="s">
        <v>268</v>
      </c>
      <c r="C62" t="s">
        <v>280</v>
      </c>
      <c r="D62" t="s">
        <v>80</v>
      </c>
      <c r="E62" t="s">
        <v>266</v>
      </c>
      <c r="F62" t="s">
        <v>281</v>
      </c>
      <c r="G62">
        <v>87</v>
      </c>
      <c r="H62">
        <v>441.26</v>
      </c>
      <c r="I62">
        <v>38389.620000000003</v>
      </c>
      <c r="J62">
        <v>37908.959999999999</v>
      </c>
      <c r="K62">
        <v>7.0000000000000007E-2</v>
      </c>
      <c r="L62">
        <v>3071.17</v>
      </c>
    </row>
    <row r="63" spans="1:12" ht="15.75" customHeight="1" x14ac:dyDescent="0.2">
      <c r="A63" t="s">
        <v>133</v>
      </c>
      <c r="B63" t="s">
        <v>268</v>
      </c>
      <c r="C63" t="s">
        <v>283</v>
      </c>
      <c r="D63" t="s">
        <v>273</v>
      </c>
      <c r="E63" t="s">
        <v>277</v>
      </c>
      <c r="F63" t="s">
        <v>282</v>
      </c>
      <c r="G63">
        <v>60</v>
      </c>
      <c r="H63">
        <v>749.59</v>
      </c>
      <c r="I63">
        <v>44975.4</v>
      </c>
      <c r="J63">
        <v>14633.33</v>
      </c>
      <c r="K63">
        <v>0.04</v>
      </c>
      <c r="L63">
        <v>4947.29</v>
      </c>
    </row>
    <row r="64" spans="1:12" ht="15.75" customHeight="1" x14ac:dyDescent="0.2">
      <c r="A64" t="s">
        <v>101</v>
      </c>
      <c r="B64" t="s">
        <v>275</v>
      </c>
      <c r="C64" t="s">
        <v>276</v>
      </c>
      <c r="D64" t="s">
        <v>191</v>
      </c>
      <c r="E64" t="s">
        <v>277</v>
      </c>
      <c r="F64" t="s">
        <v>278</v>
      </c>
      <c r="G64">
        <v>92</v>
      </c>
      <c r="H64">
        <v>1463.3</v>
      </c>
      <c r="I64">
        <v>134623.6</v>
      </c>
      <c r="J64">
        <v>38875.019999999997</v>
      </c>
      <c r="K64">
        <v>0.08</v>
      </c>
      <c r="L64">
        <v>9423.65</v>
      </c>
    </row>
    <row r="65" spans="1:12" ht="15.75" customHeight="1" x14ac:dyDescent="0.2">
      <c r="A65" t="s">
        <v>242</v>
      </c>
      <c r="B65" t="s">
        <v>271</v>
      </c>
      <c r="C65" t="s">
        <v>270</v>
      </c>
      <c r="D65" t="s">
        <v>191</v>
      </c>
      <c r="E65" t="s">
        <v>71</v>
      </c>
      <c r="F65" t="s">
        <v>81</v>
      </c>
      <c r="G65">
        <v>7</v>
      </c>
      <c r="H65">
        <v>927.27</v>
      </c>
      <c r="I65">
        <v>6490.89</v>
      </c>
      <c r="J65">
        <v>21099.58</v>
      </c>
      <c r="K65">
        <v>0</v>
      </c>
      <c r="L65">
        <v>973.63</v>
      </c>
    </row>
    <row r="66" spans="1:12" ht="15.75" customHeight="1" x14ac:dyDescent="0.2">
      <c r="A66" t="s">
        <v>99</v>
      </c>
      <c r="B66" t="s">
        <v>268</v>
      </c>
      <c r="C66" t="s">
        <v>264</v>
      </c>
      <c r="D66" t="s">
        <v>69</v>
      </c>
      <c r="E66" t="s">
        <v>277</v>
      </c>
      <c r="F66" t="s">
        <v>278</v>
      </c>
      <c r="G66">
        <v>17</v>
      </c>
      <c r="H66">
        <v>518.12</v>
      </c>
      <c r="I66">
        <v>8808.0400000000009</v>
      </c>
      <c r="J66">
        <v>29498.13</v>
      </c>
      <c r="K66">
        <v>0.19</v>
      </c>
      <c r="L66">
        <v>-352.32</v>
      </c>
    </row>
    <row r="67" spans="1:12" ht="15.75" customHeight="1" x14ac:dyDescent="0.2">
      <c r="A67" t="s">
        <v>88</v>
      </c>
      <c r="B67" t="s">
        <v>275</v>
      </c>
      <c r="C67" t="s">
        <v>270</v>
      </c>
      <c r="D67" t="s">
        <v>216</v>
      </c>
      <c r="E67" t="s">
        <v>266</v>
      </c>
      <c r="F67" t="s">
        <v>218</v>
      </c>
      <c r="G67">
        <v>23</v>
      </c>
      <c r="H67">
        <v>502.01</v>
      </c>
      <c r="I67">
        <v>11546.23</v>
      </c>
      <c r="J67">
        <v>8207.98</v>
      </c>
      <c r="K67">
        <v>0.15</v>
      </c>
      <c r="L67">
        <v>0</v>
      </c>
    </row>
    <row r="68" spans="1:12" ht="15.75" customHeight="1" x14ac:dyDescent="0.2">
      <c r="A68" t="s">
        <v>293</v>
      </c>
      <c r="B68" t="s">
        <v>263</v>
      </c>
      <c r="C68" t="s">
        <v>269</v>
      </c>
      <c r="D68" t="s">
        <v>223</v>
      </c>
      <c r="E68" t="s">
        <v>266</v>
      </c>
      <c r="F68" t="s">
        <v>281</v>
      </c>
      <c r="G68">
        <v>58</v>
      </c>
      <c r="H68">
        <v>1231.76</v>
      </c>
      <c r="I68">
        <v>71442.080000000002</v>
      </c>
      <c r="J68">
        <v>12672.73</v>
      </c>
      <c r="K68">
        <v>0.02</v>
      </c>
      <c r="L68">
        <v>9287.4699999999993</v>
      </c>
    </row>
    <row r="69" spans="1:12" ht="15.75" customHeight="1" x14ac:dyDescent="0.2">
      <c r="A69" t="s">
        <v>141</v>
      </c>
      <c r="B69" t="s">
        <v>263</v>
      </c>
      <c r="C69" t="s">
        <v>265</v>
      </c>
      <c r="D69" t="s">
        <v>223</v>
      </c>
      <c r="E69" t="s">
        <v>71</v>
      </c>
      <c r="F69" t="s">
        <v>70</v>
      </c>
      <c r="G69">
        <v>92</v>
      </c>
      <c r="H69">
        <v>530.91999999999996</v>
      </c>
      <c r="I69">
        <v>48844.639999999999</v>
      </c>
      <c r="J69">
        <v>20309.89</v>
      </c>
      <c r="K69">
        <v>0.15</v>
      </c>
      <c r="L69">
        <v>0</v>
      </c>
    </row>
    <row r="70" spans="1:12" ht="15.75" customHeight="1" x14ac:dyDescent="0.2">
      <c r="A70" t="s">
        <v>152</v>
      </c>
      <c r="B70" t="s">
        <v>263</v>
      </c>
      <c r="C70" t="s">
        <v>265</v>
      </c>
      <c r="D70" t="s">
        <v>223</v>
      </c>
      <c r="E70" t="s">
        <v>266</v>
      </c>
      <c r="F70" t="s">
        <v>281</v>
      </c>
      <c r="G70">
        <v>69</v>
      </c>
      <c r="H70">
        <v>414.97</v>
      </c>
      <c r="I70">
        <v>28632.93</v>
      </c>
      <c r="J70">
        <v>31017.85</v>
      </c>
      <c r="K70">
        <v>0.15</v>
      </c>
      <c r="L70">
        <v>0</v>
      </c>
    </row>
    <row r="71" spans="1:12" ht="15.75" customHeight="1" x14ac:dyDescent="0.2">
      <c r="A71" t="s">
        <v>294</v>
      </c>
      <c r="B71" t="s">
        <v>271</v>
      </c>
      <c r="C71" t="s">
        <v>276</v>
      </c>
      <c r="D71" t="s">
        <v>191</v>
      </c>
      <c r="E71" t="s">
        <v>277</v>
      </c>
      <c r="F71" t="s">
        <v>282</v>
      </c>
      <c r="G71">
        <v>31</v>
      </c>
      <c r="H71">
        <v>199.55</v>
      </c>
      <c r="I71">
        <v>6186.05</v>
      </c>
      <c r="J71">
        <v>49984.52</v>
      </c>
      <c r="K71">
        <v>0.17</v>
      </c>
      <c r="L71">
        <v>-123.72</v>
      </c>
    </row>
    <row r="72" spans="1:12" ht="15.75" customHeight="1" x14ac:dyDescent="0.2">
      <c r="A72" t="s">
        <v>122</v>
      </c>
      <c r="B72" t="s">
        <v>268</v>
      </c>
      <c r="C72" t="s">
        <v>265</v>
      </c>
      <c r="D72" t="s">
        <v>80</v>
      </c>
      <c r="E72" t="s">
        <v>277</v>
      </c>
      <c r="F72" t="s">
        <v>284</v>
      </c>
      <c r="G72">
        <v>7</v>
      </c>
      <c r="H72">
        <v>1152.68</v>
      </c>
      <c r="I72">
        <v>8068.76</v>
      </c>
      <c r="J72">
        <v>35523</v>
      </c>
      <c r="K72">
        <v>0.05</v>
      </c>
      <c r="L72">
        <v>806.88</v>
      </c>
    </row>
    <row r="73" spans="1:12" ht="15.75" customHeight="1" x14ac:dyDescent="0.2">
      <c r="A73" t="s">
        <v>171</v>
      </c>
      <c r="B73" t="s">
        <v>275</v>
      </c>
      <c r="C73" t="s">
        <v>270</v>
      </c>
      <c r="D73" t="s">
        <v>273</v>
      </c>
      <c r="E73" t="s">
        <v>266</v>
      </c>
      <c r="F73" t="s">
        <v>218</v>
      </c>
      <c r="G73">
        <v>94</v>
      </c>
      <c r="H73">
        <v>1481.24</v>
      </c>
      <c r="I73">
        <v>139236.56</v>
      </c>
      <c r="J73">
        <v>11030.1</v>
      </c>
      <c r="K73">
        <v>0.13</v>
      </c>
      <c r="L73">
        <v>2784.73</v>
      </c>
    </row>
    <row r="74" spans="1:12" ht="15.75" customHeight="1" x14ac:dyDescent="0.2">
      <c r="A74" t="s">
        <v>245</v>
      </c>
      <c r="B74" t="s">
        <v>263</v>
      </c>
      <c r="C74" t="s">
        <v>269</v>
      </c>
      <c r="D74" t="s">
        <v>223</v>
      </c>
      <c r="E74" t="s">
        <v>71</v>
      </c>
      <c r="F74" t="s">
        <v>92</v>
      </c>
      <c r="G74">
        <v>69</v>
      </c>
      <c r="H74">
        <v>529.83000000000004</v>
      </c>
      <c r="I74">
        <v>36558.269999999997</v>
      </c>
      <c r="J74">
        <v>37805.760000000002</v>
      </c>
      <c r="K74">
        <v>0.01</v>
      </c>
      <c r="L74">
        <v>5118.16</v>
      </c>
    </row>
    <row r="75" spans="1:12" ht="15.75" customHeight="1" x14ac:dyDescent="0.2">
      <c r="A75" t="s">
        <v>166</v>
      </c>
      <c r="B75" t="s">
        <v>263</v>
      </c>
      <c r="C75" t="s">
        <v>272</v>
      </c>
      <c r="D75" t="s">
        <v>216</v>
      </c>
      <c r="E75" t="s">
        <v>266</v>
      </c>
      <c r="F75" t="s">
        <v>281</v>
      </c>
      <c r="G75">
        <v>27</v>
      </c>
      <c r="H75">
        <v>687.6</v>
      </c>
      <c r="I75">
        <v>18565.2</v>
      </c>
      <c r="J75">
        <v>19063.61</v>
      </c>
      <c r="K75">
        <v>0.22</v>
      </c>
      <c r="L75">
        <v>-1299.56</v>
      </c>
    </row>
    <row r="76" spans="1:12" ht="15.75" customHeight="1" x14ac:dyDescent="0.2">
      <c r="A76" t="s">
        <v>219</v>
      </c>
      <c r="B76" t="s">
        <v>275</v>
      </c>
      <c r="C76" t="s">
        <v>283</v>
      </c>
      <c r="D76" t="s">
        <v>84</v>
      </c>
      <c r="E76" t="s">
        <v>71</v>
      </c>
      <c r="F76" t="s">
        <v>70</v>
      </c>
      <c r="G76">
        <v>61</v>
      </c>
      <c r="H76">
        <v>263.56</v>
      </c>
      <c r="I76">
        <v>16077.16</v>
      </c>
      <c r="J76">
        <v>24137.78</v>
      </c>
      <c r="K76">
        <v>0.05</v>
      </c>
      <c r="L76">
        <v>1607.72</v>
      </c>
    </row>
    <row r="77" spans="1:12" ht="15.75" customHeight="1" x14ac:dyDescent="0.2">
      <c r="A77" t="s">
        <v>209</v>
      </c>
      <c r="B77" t="s">
        <v>263</v>
      </c>
      <c r="C77" t="s">
        <v>264</v>
      </c>
      <c r="D77" t="s">
        <v>73</v>
      </c>
      <c r="E77" t="s">
        <v>277</v>
      </c>
      <c r="F77" t="s">
        <v>284</v>
      </c>
      <c r="G77">
        <v>12</v>
      </c>
      <c r="H77">
        <v>568.66999999999996</v>
      </c>
      <c r="I77">
        <v>6824.04</v>
      </c>
      <c r="J77">
        <v>45194.81</v>
      </c>
      <c r="K77">
        <v>0.1</v>
      </c>
      <c r="L77">
        <v>341.2</v>
      </c>
    </row>
    <row r="78" spans="1:12" ht="15.75" customHeight="1" x14ac:dyDescent="0.2">
      <c r="A78" t="s">
        <v>249</v>
      </c>
      <c r="B78" t="s">
        <v>271</v>
      </c>
      <c r="C78" t="s">
        <v>276</v>
      </c>
      <c r="D78" t="s">
        <v>73</v>
      </c>
      <c r="E78" t="s">
        <v>266</v>
      </c>
      <c r="F78" t="s">
        <v>267</v>
      </c>
      <c r="G78">
        <v>97</v>
      </c>
      <c r="H78">
        <v>785.15</v>
      </c>
      <c r="I78">
        <v>76159.55</v>
      </c>
      <c r="J78">
        <v>32347.25</v>
      </c>
      <c r="K78">
        <v>0.04</v>
      </c>
      <c r="L78">
        <v>8377.5499999999993</v>
      </c>
    </row>
    <row r="79" spans="1:12" ht="15.75" customHeight="1" x14ac:dyDescent="0.2">
      <c r="A79" t="s">
        <v>232</v>
      </c>
      <c r="B79" t="s">
        <v>271</v>
      </c>
      <c r="C79" t="s">
        <v>265</v>
      </c>
      <c r="D79" t="s">
        <v>73</v>
      </c>
      <c r="E79" t="s">
        <v>71</v>
      </c>
      <c r="F79" t="s">
        <v>70</v>
      </c>
      <c r="G79">
        <v>82</v>
      </c>
      <c r="H79">
        <v>420.53</v>
      </c>
      <c r="I79">
        <v>34483.46</v>
      </c>
      <c r="J79">
        <v>13912.56</v>
      </c>
      <c r="K79">
        <v>0.01</v>
      </c>
      <c r="L79">
        <v>4827.68</v>
      </c>
    </row>
    <row r="80" spans="1:12" ht="15.75" customHeight="1" x14ac:dyDescent="0.2">
      <c r="A80" t="s">
        <v>138</v>
      </c>
      <c r="B80" t="s">
        <v>271</v>
      </c>
      <c r="C80" t="s">
        <v>265</v>
      </c>
      <c r="D80" t="s">
        <v>223</v>
      </c>
      <c r="E80" t="s">
        <v>277</v>
      </c>
      <c r="F80" t="s">
        <v>278</v>
      </c>
      <c r="G80">
        <v>69</v>
      </c>
      <c r="H80">
        <v>1075.3</v>
      </c>
      <c r="I80">
        <v>74195.7</v>
      </c>
      <c r="J80">
        <v>41593.550000000003</v>
      </c>
      <c r="K80">
        <v>0.21</v>
      </c>
      <c r="L80">
        <v>-4451.74</v>
      </c>
    </row>
    <row r="81" spans="1:12" ht="15.75" customHeight="1" x14ac:dyDescent="0.2">
      <c r="A81" t="s">
        <v>211</v>
      </c>
      <c r="B81" t="s">
        <v>275</v>
      </c>
      <c r="C81" t="s">
        <v>264</v>
      </c>
      <c r="D81" t="s">
        <v>191</v>
      </c>
      <c r="E81" t="s">
        <v>266</v>
      </c>
      <c r="F81" t="s">
        <v>218</v>
      </c>
      <c r="G81">
        <v>19</v>
      </c>
      <c r="H81">
        <v>163.09</v>
      </c>
      <c r="I81">
        <v>3098.71</v>
      </c>
      <c r="J81">
        <v>23119.439999999999</v>
      </c>
      <c r="K81">
        <v>0.17</v>
      </c>
      <c r="L81">
        <v>-61.97</v>
      </c>
    </row>
    <row r="82" spans="1:12" ht="15.75" customHeight="1" x14ac:dyDescent="0.2">
      <c r="A82" t="s">
        <v>115</v>
      </c>
      <c r="B82" t="s">
        <v>268</v>
      </c>
      <c r="C82" t="s">
        <v>264</v>
      </c>
      <c r="D82" t="s">
        <v>84</v>
      </c>
      <c r="E82" t="s">
        <v>277</v>
      </c>
      <c r="F82" t="s">
        <v>284</v>
      </c>
      <c r="G82">
        <v>35</v>
      </c>
      <c r="H82">
        <v>995.18</v>
      </c>
      <c r="I82">
        <v>34831.300000000003</v>
      </c>
      <c r="J82">
        <v>49687.46</v>
      </c>
      <c r="K82">
        <v>0.04</v>
      </c>
      <c r="L82">
        <v>3831.44</v>
      </c>
    </row>
    <row r="83" spans="1:12" ht="15.75" customHeight="1" x14ac:dyDescent="0.2">
      <c r="A83" t="s">
        <v>137</v>
      </c>
      <c r="B83" t="s">
        <v>268</v>
      </c>
      <c r="C83" t="s">
        <v>280</v>
      </c>
      <c r="D83" t="s">
        <v>73</v>
      </c>
      <c r="E83" t="s">
        <v>277</v>
      </c>
      <c r="F83" t="s">
        <v>282</v>
      </c>
      <c r="G83">
        <v>62</v>
      </c>
      <c r="H83">
        <v>1086.3800000000001</v>
      </c>
      <c r="I83">
        <v>67355.56</v>
      </c>
      <c r="J83">
        <v>5361.7</v>
      </c>
      <c r="K83">
        <v>7.0000000000000007E-2</v>
      </c>
      <c r="L83">
        <v>5388.44</v>
      </c>
    </row>
    <row r="84" spans="1:12" ht="15.75" customHeight="1" x14ac:dyDescent="0.2">
      <c r="A84" t="s">
        <v>115</v>
      </c>
      <c r="B84" t="s">
        <v>275</v>
      </c>
      <c r="C84" t="s">
        <v>264</v>
      </c>
      <c r="D84" t="s">
        <v>73</v>
      </c>
      <c r="E84" t="s">
        <v>71</v>
      </c>
      <c r="F84" t="s">
        <v>92</v>
      </c>
      <c r="G84">
        <v>70</v>
      </c>
      <c r="H84">
        <v>796.95</v>
      </c>
      <c r="I84">
        <v>55786.5</v>
      </c>
      <c r="J84">
        <v>13870.59</v>
      </c>
      <c r="K84">
        <v>0.24</v>
      </c>
      <c r="L84">
        <v>-5020.78</v>
      </c>
    </row>
    <row r="85" spans="1:12" ht="15.75" customHeight="1" x14ac:dyDescent="0.2">
      <c r="A85" t="s">
        <v>145</v>
      </c>
      <c r="B85" t="s">
        <v>263</v>
      </c>
      <c r="C85" t="s">
        <v>276</v>
      </c>
      <c r="D85" t="s">
        <v>73</v>
      </c>
      <c r="E85" t="s">
        <v>266</v>
      </c>
      <c r="F85" t="s">
        <v>267</v>
      </c>
      <c r="G85">
        <v>26</v>
      </c>
      <c r="H85">
        <v>889.35</v>
      </c>
      <c r="I85">
        <v>23123.1</v>
      </c>
      <c r="J85">
        <v>34273.300000000003</v>
      </c>
      <c r="K85">
        <v>0.19</v>
      </c>
      <c r="L85">
        <v>-924.92</v>
      </c>
    </row>
    <row r="86" spans="1:12" ht="15.75" customHeight="1" x14ac:dyDescent="0.2">
      <c r="A86" t="s">
        <v>238</v>
      </c>
      <c r="B86" t="s">
        <v>268</v>
      </c>
      <c r="C86" t="s">
        <v>269</v>
      </c>
      <c r="D86" t="s">
        <v>223</v>
      </c>
      <c r="E86" t="s">
        <v>71</v>
      </c>
      <c r="F86" t="s">
        <v>70</v>
      </c>
      <c r="G86">
        <v>86</v>
      </c>
      <c r="H86">
        <v>226.23</v>
      </c>
      <c r="I86">
        <v>19455.78</v>
      </c>
      <c r="J86">
        <v>16054.98</v>
      </c>
      <c r="K86">
        <v>0.06</v>
      </c>
      <c r="L86">
        <v>1751.02</v>
      </c>
    </row>
    <row r="87" spans="1:12" ht="15.75" customHeight="1" x14ac:dyDescent="0.2">
      <c r="A87" t="s">
        <v>229</v>
      </c>
      <c r="B87" t="s">
        <v>271</v>
      </c>
      <c r="C87" t="s">
        <v>264</v>
      </c>
      <c r="D87" t="s">
        <v>216</v>
      </c>
      <c r="E87" t="s">
        <v>71</v>
      </c>
      <c r="F87" t="s">
        <v>70</v>
      </c>
      <c r="G87">
        <v>43</v>
      </c>
      <c r="H87">
        <v>186.15</v>
      </c>
      <c r="I87">
        <v>8004.45</v>
      </c>
      <c r="J87">
        <v>38240.85</v>
      </c>
      <c r="K87">
        <v>7.0000000000000007E-2</v>
      </c>
      <c r="L87">
        <v>640.36</v>
      </c>
    </row>
    <row r="88" spans="1:12" ht="15.75" customHeight="1" x14ac:dyDescent="0.2">
      <c r="A88" t="s">
        <v>245</v>
      </c>
      <c r="B88" t="s">
        <v>268</v>
      </c>
      <c r="C88" t="s">
        <v>265</v>
      </c>
      <c r="D88" t="s">
        <v>273</v>
      </c>
      <c r="E88" t="s">
        <v>277</v>
      </c>
      <c r="F88" t="s">
        <v>282</v>
      </c>
      <c r="G88">
        <v>59</v>
      </c>
      <c r="H88">
        <v>464.37</v>
      </c>
      <c r="I88">
        <v>27397.83</v>
      </c>
      <c r="J88">
        <v>18143.740000000002</v>
      </c>
      <c r="K88">
        <v>0.02</v>
      </c>
      <c r="L88">
        <v>3561.72</v>
      </c>
    </row>
    <row r="89" spans="1:12" ht="15.75" customHeight="1" x14ac:dyDescent="0.2">
      <c r="A89" t="s">
        <v>103</v>
      </c>
      <c r="B89" t="s">
        <v>268</v>
      </c>
      <c r="C89" t="s">
        <v>270</v>
      </c>
      <c r="D89" t="s">
        <v>191</v>
      </c>
      <c r="E89" t="s">
        <v>71</v>
      </c>
      <c r="F89" t="s">
        <v>92</v>
      </c>
      <c r="G89">
        <v>32</v>
      </c>
      <c r="H89">
        <v>1461.52</v>
      </c>
      <c r="I89">
        <v>46768.639999999999</v>
      </c>
      <c r="J89">
        <v>13290.12</v>
      </c>
      <c r="K89">
        <v>0.17</v>
      </c>
      <c r="L89">
        <v>-935.37</v>
      </c>
    </row>
    <row r="90" spans="1:12" ht="15.75" customHeight="1" x14ac:dyDescent="0.2">
      <c r="A90" t="s">
        <v>295</v>
      </c>
      <c r="B90" t="s">
        <v>268</v>
      </c>
      <c r="C90" t="s">
        <v>270</v>
      </c>
      <c r="D90" t="s">
        <v>69</v>
      </c>
      <c r="E90" t="s">
        <v>266</v>
      </c>
      <c r="F90" t="s">
        <v>218</v>
      </c>
      <c r="G90">
        <v>56</v>
      </c>
      <c r="H90">
        <v>1324.83</v>
      </c>
      <c r="I90">
        <v>74190.48</v>
      </c>
      <c r="J90">
        <v>14024.54</v>
      </c>
      <c r="K90">
        <v>0.08</v>
      </c>
      <c r="L90">
        <v>5193.33</v>
      </c>
    </row>
    <row r="91" spans="1:12" ht="15.75" customHeight="1" x14ac:dyDescent="0.2">
      <c r="A91" t="s">
        <v>111</v>
      </c>
      <c r="B91" t="s">
        <v>263</v>
      </c>
      <c r="C91" t="s">
        <v>269</v>
      </c>
      <c r="D91" t="s">
        <v>69</v>
      </c>
      <c r="E91" t="s">
        <v>266</v>
      </c>
      <c r="F91" t="s">
        <v>218</v>
      </c>
      <c r="G91">
        <v>50</v>
      </c>
      <c r="H91">
        <v>249.65</v>
      </c>
      <c r="I91">
        <v>12482.5</v>
      </c>
      <c r="J91">
        <v>35973.96</v>
      </c>
      <c r="K91">
        <v>0.16</v>
      </c>
      <c r="L91">
        <v>-124.83</v>
      </c>
    </row>
    <row r="92" spans="1:12" ht="15.75" customHeight="1" x14ac:dyDescent="0.2">
      <c r="A92" t="s">
        <v>94</v>
      </c>
      <c r="B92" t="s">
        <v>263</v>
      </c>
      <c r="C92" t="s">
        <v>276</v>
      </c>
      <c r="D92" t="s">
        <v>80</v>
      </c>
      <c r="E92" t="s">
        <v>277</v>
      </c>
      <c r="F92" t="s">
        <v>284</v>
      </c>
      <c r="G92">
        <v>81</v>
      </c>
      <c r="H92">
        <v>210.98</v>
      </c>
      <c r="I92">
        <v>17089.38</v>
      </c>
      <c r="J92">
        <v>40895.64</v>
      </c>
      <c r="K92">
        <v>0.05</v>
      </c>
      <c r="L92">
        <v>1708.94</v>
      </c>
    </row>
    <row r="93" spans="1:12" ht="15.75" customHeight="1" x14ac:dyDescent="0.2">
      <c r="A93" t="s">
        <v>142</v>
      </c>
      <c r="B93" t="s">
        <v>263</v>
      </c>
      <c r="C93" t="s">
        <v>283</v>
      </c>
      <c r="D93" t="s">
        <v>69</v>
      </c>
      <c r="E93" t="s">
        <v>277</v>
      </c>
      <c r="F93" t="s">
        <v>284</v>
      </c>
      <c r="G93">
        <v>60</v>
      </c>
      <c r="H93">
        <v>101.35</v>
      </c>
      <c r="I93">
        <v>6081</v>
      </c>
      <c r="J93">
        <v>13503.22</v>
      </c>
      <c r="K93">
        <v>0.14000000000000001</v>
      </c>
      <c r="L93">
        <v>60.81</v>
      </c>
    </row>
    <row r="94" spans="1:12" ht="15.75" customHeight="1" x14ac:dyDescent="0.2">
      <c r="A94" t="s">
        <v>296</v>
      </c>
      <c r="B94" t="s">
        <v>275</v>
      </c>
      <c r="C94" t="s">
        <v>264</v>
      </c>
      <c r="D94" t="s">
        <v>80</v>
      </c>
      <c r="E94" t="s">
        <v>71</v>
      </c>
      <c r="F94" t="s">
        <v>92</v>
      </c>
      <c r="G94">
        <v>13</v>
      </c>
      <c r="H94">
        <v>442.97</v>
      </c>
      <c r="I94">
        <v>5758.61</v>
      </c>
      <c r="J94">
        <v>38995.11</v>
      </c>
      <c r="K94">
        <v>0.11</v>
      </c>
      <c r="L94">
        <v>230.34</v>
      </c>
    </row>
    <row r="95" spans="1:12" ht="15.75" customHeight="1" x14ac:dyDescent="0.2">
      <c r="A95" t="s">
        <v>297</v>
      </c>
      <c r="B95" t="s">
        <v>268</v>
      </c>
      <c r="C95" t="s">
        <v>264</v>
      </c>
      <c r="D95" t="s">
        <v>191</v>
      </c>
      <c r="E95" t="s">
        <v>277</v>
      </c>
      <c r="F95" t="s">
        <v>282</v>
      </c>
      <c r="G95">
        <v>48</v>
      </c>
      <c r="H95">
        <v>598.53</v>
      </c>
      <c r="I95">
        <v>28729.439999999999</v>
      </c>
      <c r="J95">
        <v>13626.1</v>
      </c>
      <c r="K95">
        <v>0.11</v>
      </c>
      <c r="L95">
        <v>1149.18</v>
      </c>
    </row>
    <row r="96" spans="1:12" ht="15.75" customHeight="1" x14ac:dyDescent="0.2">
      <c r="A96" t="s">
        <v>290</v>
      </c>
      <c r="B96" t="s">
        <v>271</v>
      </c>
      <c r="C96" t="s">
        <v>272</v>
      </c>
      <c r="D96" t="s">
        <v>191</v>
      </c>
      <c r="E96" t="s">
        <v>71</v>
      </c>
      <c r="F96" t="s">
        <v>81</v>
      </c>
      <c r="G96">
        <v>92</v>
      </c>
      <c r="H96">
        <v>865.43</v>
      </c>
      <c r="I96">
        <v>79619.56</v>
      </c>
      <c r="J96">
        <v>34650.269999999997</v>
      </c>
      <c r="K96">
        <v>0.2</v>
      </c>
      <c r="L96">
        <v>-3980.98</v>
      </c>
    </row>
    <row r="97" spans="1:12" ht="15.75" customHeight="1" x14ac:dyDescent="0.2">
      <c r="A97" t="s">
        <v>173</v>
      </c>
      <c r="B97" t="s">
        <v>263</v>
      </c>
      <c r="C97" t="s">
        <v>283</v>
      </c>
      <c r="D97" t="s">
        <v>223</v>
      </c>
      <c r="E97" t="s">
        <v>266</v>
      </c>
      <c r="F97" t="s">
        <v>218</v>
      </c>
      <c r="G97">
        <v>13</v>
      </c>
      <c r="H97">
        <v>941.22</v>
      </c>
      <c r="I97">
        <v>12235.86</v>
      </c>
      <c r="J97">
        <v>13920</v>
      </c>
      <c r="K97">
        <v>0.21</v>
      </c>
      <c r="L97">
        <v>-734.15</v>
      </c>
    </row>
    <row r="98" spans="1:12" ht="15.75" customHeight="1" x14ac:dyDescent="0.2">
      <c r="A98" t="s">
        <v>211</v>
      </c>
      <c r="B98" t="s">
        <v>268</v>
      </c>
      <c r="C98" t="s">
        <v>276</v>
      </c>
      <c r="D98" t="s">
        <v>84</v>
      </c>
      <c r="E98" t="s">
        <v>266</v>
      </c>
      <c r="F98" t="s">
        <v>218</v>
      </c>
      <c r="G98">
        <v>93</v>
      </c>
      <c r="H98">
        <v>1086.57</v>
      </c>
      <c r="I98">
        <v>101051.01</v>
      </c>
      <c r="J98">
        <v>30195.97</v>
      </c>
      <c r="K98">
        <v>0.1</v>
      </c>
      <c r="L98">
        <v>5052.55</v>
      </c>
    </row>
    <row r="99" spans="1:12" ht="15.75" customHeight="1" x14ac:dyDescent="0.2">
      <c r="A99" t="s">
        <v>79</v>
      </c>
      <c r="B99" t="s">
        <v>263</v>
      </c>
      <c r="C99" t="s">
        <v>276</v>
      </c>
      <c r="D99" t="s">
        <v>80</v>
      </c>
      <c r="E99" t="s">
        <v>266</v>
      </c>
      <c r="F99" t="s">
        <v>267</v>
      </c>
      <c r="G99">
        <v>95</v>
      </c>
      <c r="H99">
        <v>309.18</v>
      </c>
      <c r="I99">
        <v>29372.1</v>
      </c>
      <c r="J99">
        <v>38914.06</v>
      </c>
      <c r="K99">
        <v>0.19</v>
      </c>
      <c r="L99">
        <v>-1174.8800000000001</v>
      </c>
    </row>
    <row r="100" spans="1:12" ht="15.75" customHeight="1" x14ac:dyDescent="0.2">
      <c r="A100" t="s">
        <v>298</v>
      </c>
      <c r="B100" t="s">
        <v>263</v>
      </c>
      <c r="C100" t="s">
        <v>269</v>
      </c>
      <c r="D100" t="s">
        <v>273</v>
      </c>
      <c r="E100" t="s">
        <v>277</v>
      </c>
      <c r="F100" t="s">
        <v>284</v>
      </c>
      <c r="G100">
        <v>41</v>
      </c>
      <c r="H100">
        <v>685.88</v>
      </c>
      <c r="I100">
        <v>28121.08</v>
      </c>
      <c r="J100">
        <v>49125.05</v>
      </c>
      <c r="K100">
        <v>0.04</v>
      </c>
      <c r="L100">
        <v>3093.32</v>
      </c>
    </row>
    <row r="101" spans="1:12" ht="15.75" customHeight="1" x14ac:dyDescent="0.2">
      <c r="A101" t="s">
        <v>93</v>
      </c>
      <c r="B101" t="s">
        <v>275</v>
      </c>
      <c r="C101" t="s">
        <v>269</v>
      </c>
      <c r="D101" t="s">
        <v>80</v>
      </c>
      <c r="E101" t="s">
        <v>277</v>
      </c>
      <c r="F101" t="s">
        <v>278</v>
      </c>
      <c r="G101">
        <v>58</v>
      </c>
      <c r="H101">
        <v>1361.87</v>
      </c>
      <c r="I101">
        <v>78988.460000000006</v>
      </c>
      <c r="J101">
        <v>20223.330000000002</v>
      </c>
      <c r="K101">
        <v>0.06</v>
      </c>
      <c r="L101">
        <v>7108.96</v>
      </c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01"/>
  <sheetViews>
    <sheetView workbookViewId="0"/>
  </sheetViews>
  <sheetFormatPr defaultColWidth="14.390625" defaultRowHeight="15" customHeight="1" x14ac:dyDescent="0.2"/>
  <cols>
    <col min="1" max="1" width="10.4921875" customWidth="1"/>
    <col min="2" max="2" width="13.98828125" customWidth="1"/>
    <col min="3" max="3" width="9.81640625" customWidth="1"/>
    <col min="4" max="4" width="12.10546875" customWidth="1"/>
    <col min="5" max="5" width="11.703125" customWidth="1"/>
    <col min="6" max="6" width="10.4921875" customWidth="1"/>
    <col min="7" max="7" width="10.0859375" customWidth="1"/>
    <col min="8" max="8" width="12.23828125" customWidth="1"/>
    <col min="9" max="9" width="15.87109375" customWidth="1"/>
    <col min="10" max="10" width="13.1796875" customWidth="1"/>
    <col min="11" max="11" width="8.7421875" customWidth="1"/>
  </cols>
  <sheetData>
    <row r="1" spans="1:10" x14ac:dyDescent="0.2">
      <c r="A1" t="s">
        <v>59</v>
      </c>
      <c r="B1" t="s">
        <v>60</v>
      </c>
      <c r="C1" t="s">
        <v>258</v>
      </c>
      <c r="D1" t="s">
        <v>62</v>
      </c>
      <c r="E1" t="s">
        <v>61</v>
      </c>
      <c r="F1" t="s">
        <v>299</v>
      </c>
      <c r="G1" t="s">
        <v>300</v>
      </c>
      <c r="H1" t="s">
        <v>301</v>
      </c>
      <c r="I1" t="s">
        <v>302</v>
      </c>
      <c r="J1" t="s">
        <v>303</v>
      </c>
    </row>
    <row r="2" spans="1:10" x14ac:dyDescent="0.2">
      <c r="A2" s="35">
        <v>45957</v>
      </c>
      <c r="B2" t="s">
        <v>268</v>
      </c>
      <c r="C2" t="s">
        <v>269</v>
      </c>
      <c r="D2" t="s">
        <v>304</v>
      </c>
      <c r="E2" t="s">
        <v>305</v>
      </c>
      <c r="F2" s="36">
        <v>94</v>
      </c>
      <c r="G2" s="36">
        <v>230</v>
      </c>
      <c r="H2" s="36">
        <f t="shared" ref="H2:H201" si="0">F2*G2</f>
        <v>21620</v>
      </c>
      <c r="I2" s="36">
        <v>24816</v>
      </c>
      <c r="J2" s="36">
        <f t="shared" ref="J2:J201" si="1">H2-I2</f>
        <v>-3196</v>
      </c>
    </row>
    <row r="3" spans="1:10" x14ac:dyDescent="0.2">
      <c r="A3" s="35">
        <v>45741</v>
      </c>
      <c r="B3" t="s">
        <v>268</v>
      </c>
      <c r="C3" t="s">
        <v>269</v>
      </c>
      <c r="D3" t="s">
        <v>306</v>
      </c>
      <c r="E3" t="s">
        <v>84</v>
      </c>
      <c r="F3" s="36">
        <v>62</v>
      </c>
      <c r="G3" s="36">
        <v>911</v>
      </c>
      <c r="H3" s="36">
        <f t="shared" si="0"/>
        <v>56482</v>
      </c>
      <c r="I3" s="36">
        <v>52221</v>
      </c>
      <c r="J3" s="36">
        <f t="shared" si="1"/>
        <v>4261</v>
      </c>
    </row>
    <row r="4" spans="1:10" x14ac:dyDescent="0.2">
      <c r="A4" s="35">
        <v>45846</v>
      </c>
      <c r="B4" t="s">
        <v>271</v>
      </c>
      <c r="C4" t="s">
        <v>272</v>
      </c>
      <c r="D4" t="s">
        <v>92</v>
      </c>
      <c r="E4" t="s">
        <v>305</v>
      </c>
      <c r="F4" s="36">
        <v>47</v>
      </c>
      <c r="G4" s="36">
        <v>662</v>
      </c>
      <c r="H4" s="36">
        <f t="shared" si="0"/>
        <v>31114</v>
      </c>
      <c r="I4" s="36">
        <v>111809</v>
      </c>
      <c r="J4" s="36">
        <f t="shared" si="1"/>
        <v>-80695</v>
      </c>
    </row>
    <row r="5" spans="1:10" x14ac:dyDescent="0.2">
      <c r="A5" s="35">
        <v>45766</v>
      </c>
      <c r="B5" t="s">
        <v>271</v>
      </c>
      <c r="C5" t="s">
        <v>272</v>
      </c>
      <c r="D5" t="s">
        <v>306</v>
      </c>
      <c r="E5" t="s">
        <v>305</v>
      </c>
      <c r="F5" s="36">
        <v>104</v>
      </c>
      <c r="G5" s="36">
        <v>257</v>
      </c>
      <c r="H5" s="36">
        <f t="shared" si="0"/>
        <v>26728</v>
      </c>
      <c r="I5" s="36">
        <v>31193</v>
      </c>
      <c r="J5" s="36">
        <f t="shared" si="1"/>
        <v>-4465</v>
      </c>
    </row>
    <row r="6" spans="1:10" x14ac:dyDescent="0.2">
      <c r="A6" s="35">
        <v>45687</v>
      </c>
      <c r="B6" t="s">
        <v>263</v>
      </c>
      <c r="C6" t="s">
        <v>280</v>
      </c>
      <c r="D6" t="s">
        <v>92</v>
      </c>
      <c r="E6" t="s">
        <v>305</v>
      </c>
      <c r="F6" s="36">
        <v>32</v>
      </c>
      <c r="G6" s="36">
        <v>1147</v>
      </c>
      <c r="H6" s="36">
        <f t="shared" si="0"/>
        <v>36704</v>
      </c>
      <c r="I6" s="36">
        <v>119792</v>
      </c>
      <c r="J6" s="36">
        <f t="shared" si="1"/>
        <v>-83088</v>
      </c>
    </row>
    <row r="7" spans="1:10" x14ac:dyDescent="0.2">
      <c r="A7" s="35">
        <v>45907</v>
      </c>
      <c r="B7" t="s">
        <v>263</v>
      </c>
      <c r="C7" t="s">
        <v>264</v>
      </c>
      <c r="D7" t="s">
        <v>74</v>
      </c>
      <c r="E7" t="s">
        <v>307</v>
      </c>
      <c r="F7" s="36">
        <v>49</v>
      </c>
      <c r="G7" s="36">
        <v>980</v>
      </c>
      <c r="H7" s="36">
        <f t="shared" si="0"/>
        <v>48020</v>
      </c>
      <c r="I7" s="36">
        <v>68570</v>
      </c>
      <c r="J7" s="36">
        <f t="shared" si="1"/>
        <v>-20550</v>
      </c>
    </row>
    <row r="8" spans="1:10" x14ac:dyDescent="0.2">
      <c r="A8" s="35">
        <v>45868</v>
      </c>
      <c r="B8" t="s">
        <v>268</v>
      </c>
      <c r="C8" t="s">
        <v>265</v>
      </c>
      <c r="D8" t="s">
        <v>92</v>
      </c>
      <c r="E8" t="s">
        <v>308</v>
      </c>
      <c r="F8" s="36">
        <v>62</v>
      </c>
      <c r="G8" s="36">
        <v>401</v>
      </c>
      <c r="H8" s="36">
        <f t="shared" si="0"/>
        <v>24862</v>
      </c>
      <c r="I8" s="36">
        <v>110100</v>
      </c>
      <c r="J8" s="36">
        <f t="shared" si="1"/>
        <v>-85238</v>
      </c>
    </row>
    <row r="9" spans="1:10" x14ac:dyDescent="0.2">
      <c r="A9" s="35">
        <v>45705</v>
      </c>
      <c r="B9" t="s">
        <v>271</v>
      </c>
      <c r="C9" t="s">
        <v>309</v>
      </c>
      <c r="D9" t="s">
        <v>306</v>
      </c>
      <c r="E9" t="s">
        <v>308</v>
      </c>
      <c r="F9" s="36">
        <v>88</v>
      </c>
      <c r="G9" s="36">
        <v>279</v>
      </c>
      <c r="H9" s="36">
        <f t="shared" si="0"/>
        <v>24552</v>
      </c>
      <c r="I9" s="36">
        <v>28693</v>
      </c>
      <c r="J9" s="36">
        <f t="shared" si="1"/>
        <v>-4141</v>
      </c>
    </row>
    <row r="10" spans="1:10" x14ac:dyDescent="0.2">
      <c r="A10" s="35">
        <v>45711</v>
      </c>
      <c r="B10" t="s">
        <v>271</v>
      </c>
      <c r="C10" t="s">
        <v>272</v>
      </c>
      <c r="D10" t="s">
        <v>92</v>
      </c>
      <c r="E10" t="s">
        <v>310</v>
      </c>
      <c r="F10" s="36">
        <v>28</v>
      </c>
      <c r="G10" s="36">
        <v>1317</v>
      </c>
      <c r="H10" s="36">
        <f t="shared" si="0"/>
        <v>36876</v>
      </c>
      <c r="I10" s="36">
        <v>43782</v>
      </c>
      <c r="J10" s="36">
        <f t="shared" si="1"/>
        <v>-6906</v>
      </c>
    </row>
    <row r="11" spans="1:10" x14ac:dyDescent="0.2">
      <c r="A11" s="35">
        <v>45767</v>
      </c>
      <c r="B11" t="s">
        <v>263</v>
      </c>
      <c r="C11" t="s">
        <v>280</v>
      </c>
      <c r="D11" t="s">
        <v>85</v>
      </c>
      <c r="E11" t="s">
        <v>308</v>
      </c>
      <c r="F11" s="36">
        <v>62</v>
      </c>
      <c r="G11" s="36">
        <v>747</v>
      </c>
      <c r="H11" s="36">
        <f t="shared" si="0"/>
        <v>46314</v>
      </c>
      <c r="I11" s="36">
        <v>20970</v>
      </c>
      <c r="J11" s="36">
        <f t="shared" si="1"/>
        <v>25344</v>
      </c>
    </row>
    <row r="12" spans="1:10" x14ac:dyDescent="0.2">
      <c r="A12" s="35">
        <v>45926</v>
      </c>
      <c r="B12" t="s">
        <v>268</v>
      </c>
      <c r="C12" t="s">
        <v>265</v>
      </c>
      <c r="D12" t="s">
        <v>74</v>
      </c>
      <c r="E12" t="s">
        <v>273</v>
      </c>
      <c r="F12" s="36">
        <v>87</v>
      </c>
      <c r="G12" s="36">
        <v>1023</v>
      </c>
      <c r="H12" s="36">
        <f t="shared" si="0"/>
        <v>89001</v>
      </c>
      <c r="I12" s="36">
        <v>30035</v>
      </c>
      <c r="J12" s="36">
        <f t="shared" si="1"/>
        <v>58966</v>
      </c>
    </row>
    <row r="13" spans="1:10" x14ac:dyDescent="0.2">
      <c r="A13" s="35">
        <v>45876</v>
      </c>
      <c r="B13" t="s">
        <v>271</v>
      </c>
      <c r="C13" t="s">
        <v>309</v>
      </c>
      <c r="D13" t="s">
        <v>92</v>
      </c>
      <c r="E13" t="s">
        <v>305</v>
      </c>
      <c r="F13" s="36">
        <v>104</v>
      </c>
      <c r="G13" s="36">
        <v>1338</v>
      </c>
      <c r="H13" s="36">
        <f t="shared" si="0"/>
        <v>139152</v>
      </c>
      <c r="I13" s="36">
        <v>119325</v>
      </c>
      <c r="J13" s="36">
        <f t="shared" si="1"/>
        <v>19827</v>
      </c>
    </row>
    <row r="14" spans="1:10" x14ac:dyDescent="0.2">
      <c r="A14" s="35">
        <v>45893</v>
      </c>
      <c r="B14" t="s">
        <v>268</v>
      </c>
      <c r="C14" t="s">
        <v>311</v>
      </c>
      <c r="D14" t="s">
        <v>85</v>
      </c>
      <c r="E14" t="s">
        <v>310</v>
      </c>
      <c r="F14" s="36">
        <v>93</v>
      </c>
      <c r="G14" s="36">
        <v>1474</v>
      </c>
      <c r="H14" s="36">
        <f t="shared" si="0"/>
        <v>137082</v>
      </c>
      <c r="I14" s="36">
        <v>83525</v>
      </c>
      <c r="J14" s="36">
        <f t="shared" si="1"/>
        <v>53557</v>
      </c>
    </row>
    <row r="15" spans="1:10" x14ac:dyDescent="0.2">
      <c r="A15" s="35">
        <v>45769</v>
      </c>
      <c r="B15" t="s">
        <v>268</v>
      </c>
      <c r="C15" t="s">
        <v>265</v>
      </c>
      <c r="D15" t="s">
        <v>306</v>
      </c>
      <c r="E15" t="s">
        <v>312</v>
      </c>
      <c r="F15" s="36">
        <v>79</v>
      </c>
      <c r="G15" s="36">
        <v>295</v>
      </c>
      <c r="H15" s="36">
        <f t="shared" si="0"/>
        <v>23305</v>
      </c>
      <c r="I15" s="36">
        <v>105694</v>
      </c>
      <c r="J15" s="36">
        <f t="shared" si="1"/>
        <v>-82389</v>
      </c>
    </row>
    <row r="16" spans="1:10" x14ac:dyDescent="0.2">
      <c r="A16" s="35">
        <v>45837</v>
      </c>
      <c r="B16" t="s">
        <v>271</v>
      </c>
      <c r="C16" t="s">
        <v>272</v>
      </c>
      <c r="D16" t="s">
        <v>306</v>
      </c>
      <c r="E16" t="s">
        <v>84</v>
      </c>
      <c r="F16" s="36">
        <v>14</v>
      </c>
      <c r="G16" s="36">
        <v>638</v>
      </c>
      <c r="H16" s="36">
        <f t="shared" si="0"/>
        <v>8932</v>
      </c>
      <c r="I16" s="36">
        <v>11636</v>
      </c>
      <c r="J16" s="36">
        <f t="shared" si="1"/>
        <v>-2704</v>
      </c>
    </row>
    <row r="17" spans="1:10" x14ac:dyDescent="0.2">
      <c r="A17" s="35">
        <v>46003</v>
      </c>
      <c r="B17" t="s">
        <v>263</v>
      </c>
      <c r="C17" t="s">
        <v>264</v>
      </c>
      <c r="D17" t="s">
        <v>304</v>
      </c>
      <c r="E17" t="s">
        <v>77</v>
      </c>
      <c r="F17" s="36">
        <v>55</v>
      </c>
      <c r="G17" s="36">
        <v>1418</v>
      </c>
      <c r="H17" s="36">
        <f t="shared" si="0"/>
        <v>77990</v>
      </c>
      <c r="I17" s="36">
        <v>24964</v>
      </c>
      <c r="J17" s="36">
        <f t="shared" si="1"/>
        <v>53026</v>
      </c>
    </row>
    <row r="18" spans="1:10" x14ac:dyDescent="0.2">
      <c r="A18" s="35">
        <v>45994</v>
      </c>
      <c r="B18" t="s">
        <v>271</v>
      </c>
      <c r="C18" t="s">
        <v>309</v>
      </c>
      <c r="D18" t="s">
        <v>304</v>
      </c>
      <c r="E18" t="s">
        <v>305</v>
      </c>
      <c r="F18" s="36">
        <v>38</v>
      </c>
      <c r="G18" s="36">
        <v>800</v>
      </c>
      <c r="H18" s="36">
        <f t="shared" si="0"/>
        <v>30400</v>
      </c>
      <c r="I18" s="36">
        <v>66932</v>
      </c>
      <c r="J18" s="36">
        <f t="shared" si="1"/>
        <v>-36532</v>
      </c>
    </row>
    <row r="19" spans="1:10" x14ac:dyDescent="0.2">
      <c r="A19" s="35">
        <v>45665</v>
      </c>
      <c r="B19" t="s">
        <v>263</v>
      </c>
      <c r="C19" t="s">
        <v>276</v>
      </c>
      <c r="D19" t="s">
        <v>74</v>
      </c>
      <c r="E19" t="s">
        <v>307</v>
      </c>
      <c r="F19" s="36">
        <v>57</v>
      </c>
      <c r="G19" s="36">
        <v>731</v>
      </c>
      <c r="H19" s="36">
        <f t="shared" si="0"/>
        <v>41667</v>
      </c>
      <c r="I19" s="36">
        <v>103274</v>
      </c>
      <c r="J19" s="36">
        <f t="shared" si="1"/>
        <v>-61607</v>
      </c>
    </row>
    <row r="20" spans="1:10" x14ac:dyDescent="0.2">
      <c r="A20" s="35">
        <v>45977</v>
      </c>
      <c r="B20" t="s">
        <v>268</v>
      </c>
      <c r="C20" t="s">
        <v>269</v>
      </c>
      <c r="D20" t="s">
        <v>74</v>
      </c>
      <c r="E20" t="s">
        <v>84</v>
      </c>
      <c r="F20" s="36">
        <v>69</v>
      </c>
      <c r="G20" s="36">
        <v>143</v>
      </c>
      <c r="H20" s="36">
        <f t="shared" si="0"/>
        <v>9867</v>
      </c>
      <c r="I20" s="36">
        <v>48142</v>
      </c>
      <c r="J20" s="36">
        <f t="shared" si="1"/>
        <v>-38275</v>
      </c>
    </row>
    <row r="21" spans="1:10" ht="15.75" customHeight="1" x14ac:dyDescent="0.2">
      <c r="A21" s="35">
        <v>45809</v>
      </c>
      <c r="B21" t="s">
        <v>263</v>
      </c>
      <c r="C21" t="s">
        <v>264</v>
      </c>
      <c r="D21" t="s">
        <v>74</v>
      </c>
      <c r="E21" t="s">
        <v>273</v>
      </c>
      <c r="F21" s="36">
        <v>93</v>
      </c>
      <c r="G21" s="36">
        <v>1291</v>
      </c>
      <c r="H21" s="36">
        <f t="shared" si="0"/>
        <v>120063</v>
      </c>
      <c r="I21" s="36">
        <v>97407</v>
      </c>
      <c r="J21" s="36">
        <f t="shared" si="1"/>
        <v>22656</v>
      </c>
    </row>
    <row r="22" spans="1:10" ht="15.75" customHeight="1" x14ac:dyDescent="0.2">
      <c r="A22" s="35">
        <v>45746</v>
      </c>
      <c r="B22" t="s">
        <v>271</v>
      </c>
      <c r="C22" t="s">
        <v>309</v>
      </c>
      <c r="D22" t="s">
        <v>92</v>
      </c>
      <c r="E22" t="s">
        <v>312</v>
      </c>
      <c r="F22" s="36">
        <v>116</v>
      </c>
      <c r="G22" s="36">
        <v>490</v>
      </c>
      <c r="H22" s="36">
        <f t="shared" si="0"/>
        <v>56840</v>
      </c>
      <c r="I22" s="36">
        <v>70779</v>
      </c>
      <c r="J22" s="36">
        <f t="shared" si="1"/>
        <v>-13939</v>
      </c>
    </row>
    <row r="23" spans="1:10" ht="15.75" customHeight="1" x14ac:dyDescent="0.2">
      <c r="A23" s="35">
        <v>45728</v>
      </c>
      <c r="B23" t="s">
        <v>271</v>
      </c>
      <c r="C23" t="s">
        <v>272</v>
      </c>
      <c r="D23" t="s">
        <v>74</v>
      </c>
      <c r="E23" t="s">
        <v>310</v>
      </c>
      <c r="F23" s="36">
        <v>83</v>
      </c>
      <c r="G23" s="36">
        <v>246</v>
      </c>
      <c r="H23" s="36">
        <f t="shared" si="0"/>
        <v>20418</v>
      </c>
      <c r="I23" s="36">
        <v>46967</v>
      </c>
      <c r="J23" s="36">
        <f t="shared" si="1"/>
        <v>-26549</v>
      </c>
    </row>
    <row r="24" spans="1:10" ht="15.75" customHeight="1" x14ac:dyDescent="0.2">
      <c r="A24" s="35">
        <v>45712</v>
      </c>
      <c r="B24" t="s">
        <v>263</v>
      </c>
      <c r="C24" t="s">
        <v>264</v>
      </c>
      <c r="D24" t="s">
        <v>74</v>
      </c>
      <c r="E24" t="s">
        <v>273</v>
      </c>
      <c r="F24" s="36">
        <v>52</v>
      </c>
      <c r="G24" s="36">
        <v>559</v>
      </c>
      <c r="H24" s="36">
        <f t="shared" si="0"/>
        <v>29068</v>
      </c>
      <c r="I24" s="36">
        <v>19552</v>
      </c>
      <c r="J24" s="36">
        <f t="shared" si="1"/>
        <v>9516</v>
      </c>
    </row>
    <row r="25" spans="1:10" ht="15.75" customHeight="1" x14ac:dyDescent="0.2">
      <c r="A25" s="35">
        <v>45768</v>
      </c>
      <c r="B25" t="s">
        <v>268</v>
      </c>
      <c r="C25" t="s">
        <v>265</v>
      </c>
      <c r="D25" t="s">
        <v>306</v>
      </c>
      <c r="E25" t="s">
        <v>312</v>
      </c>
      <c r="F25" s="36">
        <v>68</v>
      </c>
      <c r="G25" s="36">
        <v>284</v>
      </c>
      <c r="H25" s="36">
        <f t="shared" si="0"/>
        <v>19312</v>
      </c>
      <c r="I25" s="36">
        <v>115197</v>
      </c>
      <c r="J25" s="36">
        <f t="shared" si="1"/>
        <v>-95885</v>
      </c>
    </row>
    <row r="26" spans="1:10" ht="15.75" customHeight="1" x14ac:dyDescent="0.2">
      <c r="A26" s="35">
        <v>45721</v>
      </c>
      <c r="B26" t="s">
        <v>271</v>
      </c>
      <c r="C26" t="s">
        <v>272</v>
      </c>
      <c r="D26" t="s">
        <v>306</v>
      </c>
      <c r="E26" t="s">
        <v>312</v>
      </c>
      <c r="F26" s="36">
        <v>104</v>
      </c>
      <c r="G26" s="36">
        <v>1194</v>
      </c>
      <c r="H26" s="36">
        <f t="shared" si="0"/>
        <v>124176</v>
      </c>
      <c r="I26" s="36">
        <v>33679</v>
      </c>
      <c r="J26" s="36">
        <f t="shared" si="1"/>
        <v>90497</v>
      </c>
    </row>
    <row r="27" spans="1:10" ht="15.75" customHeight="1" x14ac:dyDescent="0.2">
      <c r="A27" s="35">
        <v>45802</v>
      </c>
      <c r="B27" t="s">
        <v>268</v>
      </c>
      <c r="C27" t="s">
        <v>269</v>
      </c>
      <c r="D27" t="s">
        <v>92</v>
      </c>
      <c r="E27" t="s">
        <v>273</v>
      </c>
      <c r="F27" s="36">
        <v>81</v>
      </c>
      <c r="G27" s="36">
        <v>175</v>
      </c>
      <c r="H27" s="36">
        <f t="shared" si="0"/>
        <v>14175</v>
      </c>
      <c r="I27" s="36">
        <v>75565</v>
      </c>
      <c r="J27" s="36">
        <f t="shared" si="1"/>
        <v>-61390</v>
      </c>
    </row>
    <row r="28" spans="1:10" ht="15.75" customHeight="1" x14ac:dyDescent="0.2">
      <c r="A28" s="35">
        <v>45847</v>
      </c>
      <c r="B28" t="s">
        <v>268</v>
      </c>
      <c r="C28" t="s">
        <v>269</v>
      </c>
      <c r="D28" t="s">
        <v>92</v>
      </c>
      <c r="E28" t="s">
        <v>312</v>
      </c>
      <c r="F28" s="36">
        <v>111</v>
      </c>
      <c r="G28" s="36">
        <v>465</v>
      </c>
      <c r="H28" s="36">
        <f t="shared" si="0"/>
        <v>51615</v>
      </c>
      <c r="I28" s="36">
        <v>67561</v>
      </c>
      <c r="J28" s="36">
        <f t="shared" si="1"/>
        <v>-15946</v>
      </c>
    </row>
    <row r="29" spans="1:10" ht="15.75" customHeight="1" x14ac:dyDescent="0.2">
      <c r="A29" s="35">
        <v>45865</v>
      </c>
      <c r="B29" t="s">
        <v>271</v>
      </c>
      <c r="C29" t="s">
        <v>309</v>
      </c>
      <c r="D29" t="s">
        <v>306</v>
      </c>
      <c r="E29" t="s">
        <v>305</v>
      </c>
      <c r="F29" s="36">
        <v>93</v>
      </c>
      <c r="G29" s="36">
        <v>562</v>
      </c>
      <c r="H29" s="36">
        <f t="shared" si="0"/>
        <v>52266</v>
      </c>
      <c r="I29" s="36">
        <v>47182</v>
      </c>
      <c r="J29" s="36">
        <f t="shared" si="1"/>
        <v>5084</v>
      </c>
    </row>
    <row r="30" spans="1:10" ht="15.75" customHeight="1" x14ac:dyDescent="0.2">
      <c r="A30" s="35">
        <v>45877</v>
      </c>
      <c r="B30" t="s">
        <v>271</v>
      </c>
      <c r="C30" t="s">
        <v>270</v>
      </c>
      <c r="D30" t="s">
        <v>306</v>
      </c>
      <c r="E30" t="s">
        <v>308</v>
      </c>
      <c r="F30" s="36">
        <v>34</v>
      </c>
      <c r="G30" s="36">
        <v>1215</v>
      </c>
      <c r="H30" s="36">
        <f t="shared" si="0"/>
        <v>41310</v>
      </c>
      <c r="I30" s="36">
        <v>108407</v>
      </c>
      <c r="J30" s="36">
        <f t="shared" si="1"/>
        <v>-67097</v>
      </c>
    </row>
    <row r="31" spans="1:10" ht="15.75" customHeight="1" x14ac:dyDescent="0.2">
      <c r="A31" s="35">
        <v>45909</v>
      </c>
      <c r="B31" t="s">
        <v>271</v>
      </c>
      <c r="C31" t="s">
        <v>270</v>
      </c>
      <c r="D31" t="s">
        <v>85</v>
      </c>
      <c r="E31" t="s">
        <v>308</v>
      </c>
      <c r="F31" s="36">
        <v>61</v>
      </c>
      <c r="G31" s="36">
        <v>960</v>
      </c>
      <c r="H31" s="36">
        <f t="shared" si="0"/>
        <v>58560</v>
      </c>
      <c r="I31" s="36">
        <v>82024</v>
      </c>
      <c r="J31" s="36">
        <f t="shared" si="1"/>
        <v>-23464</v>
      </c>
    </row>
    <row r="32" spans="1:10" ht="15.75" customHeight="1" x14ac:dyDescent="0.2">
      <c r="A32" s="35">
        <v>45873</v>
      </c>
      <c r="B32" t="s">
        <v>263</v>
      </c>
      <c r="C32" t="s">
        <v>264</v>
      </c>
      <c r="D32" t="s">
        <v>85</v>
      </c>
      <c r="E32" t="s">
        <v>305</v>
      </c>
      <c r="F32" s="36">
        <v>85</v>
      </c>
      <c r="G32" s="36">
        <v>1479</v>
      </c>
      <c r="H32" s="36">
        <f t="shared" si="0"/>
        <v>125715</v>
      </c>
      <c r="I32" s="36">
        <v>26844</v>
      </c>
      <c r="J32" s="36">
        <f t="shared" si="1"/>
        <v>98871</v>
      </c>
    </row>
    <row r="33" spans="1:10" ht="15.75" customHeight="1" x14ac:dyDescent="0.2">
      <c r="A33" s="35">
        <v>45946</v>
      </c>
      <c r="B33" t="s">
        <v>263</v>
      </c>
      <c r="C33" t="s">
        <v>276</v>
      </c>
      <c r="D33" t="s">
        <v>74</v>
      </c>
      <c r="E33" t="s">
        <v>84</v>
      </c>
      <c r="F33" s="36">
        <v>96</v>
      </c>
      <c r="G33" s="36">
        <v>688</v>
      </c>
      <c r="H33" s="36">
        <f t="shared" si="0"/>
        <v>66048</v>
      </c>
      <c r="I33" s="36">
        <v>79911</v>
      </c>
      <c r="J33" s="36">
        <f t="shared" si="1"/>
        <v>-13863</v>
      </c>
    </row>
    <row r="34" spans="1:10" ht="15.75" customHeight="1" x14ac:dyDescent="0.2">
      <c r="A34" s="35">
        <v>45793</v>
      </c>
      <c r="B34" t="s">
        <v>263</v>
      </c>
      <c r="C34" t="s">
        <v>276</v>
      </c>
      <c r="D34" t="s">
        <v>85</v>
      </c>
      <c r="E34" t="s">
        <v>84</v>
      </c>
      <c r="F34" s="36">
        <v>95</v>
      </c>
      <c r="G34" s="36">
        <v>986</v>
      </c>
      <c r="H34" s="36">
        <f t="shared" si="0"/>
        <v>93670</v>
      </c>
      <c r="I34" s="36">
        <v>52134</v>
      </c>
      <c r="J34" s="36">
        <f t="shared" si="1"/>
        <v>41536</v>
      </c>
    </row>
    <row r="35" spans="1:10" ht="15.75" customHeight="1" x14ac:dyDescent="0.2">
      <c r="A35" s="35">
        <v>45919</v>
      </c>
      <c r="B35" t="s">
        <v>268</v>
      </c>
      <c r="C35" t="s">
        <v>311</v>
      </c>
      <c r="D35" t="s">
        <v>85</v>
      </c>
      <c r="E35" t="s">
        <v>308</v>
      </c>
      <c r="F35" s="36">
        <v>12</v>
      </c>
      <c r="G35" s="36">
        <v>1485</v>
      </c>
      <c r="H35" s="36">
        <f t="shared" si="0"/>
        <v>17820</v>
      </c>
      <c r="I35" s="36">
        <v>85499</v>
      </c>
      <c r="J35" s="36">
        <f t="shared" si="1"/>
        <v>-67679</v>
      </c>
    </row>
    <row r="36" spans="1:10" ht="15.75" customHeight="1" x14ac:dyDescent="0.2">
      <c r="A36" s="35">
        <v>45720</v>
      </c>
      <c r="B36" t="s">
        <v>268</v>
      </c>
      <c r="C36" t="s">
        <v>311</v>
      </c>
      <c r="D36" t="s">
        <v>85</v>
      </c>
      <c r="E36" t="s">
        <v>305</v>
      </c>
      <c r="F36" s="36">
        <v>51</v>
      </c>
      <c r="G36" s="36">
        <v>984</v>
      </c>
      <c r="H36" s="36">
        <f t="shared" si="0"/>
        <v>50184</v>
      </c>
      <c r="I36" s="36">
        <v>34915</v>
      </c>
      <c r="J36" s="36">
        <f t="shared" si="1"/>
        <v>15269</v>
      </c>
    </row>
    <row r="37" spans="1:10" ht="15.75" customHeight="1" x14ac:dyDescent="0.2">
      <c r="A37" s="35">
        <v>45859</v>
      </c>
      <c r="B37" t="s">
        <v>263</v>
      </c>
      <c r="C37" t="s">
        <v>280</v>
      </c>
      <c r="D37" t="s">
        <v>306</v>
      </c>
      <c r="E37" t="s">
        <v>310</v>
      </c>
      <c r="F37" s="36">
        <v>67</v>
      </c>
      <c r="G37" s="36">
        <v>1276</v>
      </c>
      <c r="H37" s="36">
        <f t="shared" si="0"/>
        <v>85492</v>
      </c>
      <c r="I37" s="36">
        <v>54092</v>
      </c>
      <c r="J37" s="36">
        <f t="shared" si="1"/>
        <v>31400</v>
      </c>
    </row>
    <row r="38" spans="1:10" ht="15.75" customHeight="1" x14ac:dyDescent="0.2">
      <c r="A38" s="35">
        <v>45700</v>
      </c>
      <c r="B38" t="s">
        <v>271</v>
      </c>
      <c r="C38" t="s">
        <v>309</v>
      </c>
      <c r="D38" t="s">
        <v>306</v>
      </c>
      <c r="E38" t="s">
        <v>312</v>
      </c>
      <c r="F38" s="36">
        <v>105</v>
      </c>
      <c r="G38" s="36">
        <v>1206</v>
      </c>
      <c r="H38" s="36">
        <f t="shared" si="0"/>
        <v>126630</v>
      </c>
      <c r="I38" s="36">
        <v>22900</v>
      </c>
      <c r="J38" s="36">
        <f t="shared" si="1"/>
        <v>103730</v>
      </c>
    </row>
    <row r="39" spans="1:10" ht="15.75" customHeight="1" x14ac:dyDescent="0.2">
      <c r="A39" s="35">
        <v>45720</v>
      </c>
      <c r="B39" t="s">
        <v>263</v>
      </c>
      <c r="C39" t="s">
        <v>264</v>
      </c>
      <c r="D39" t="s">
        <v>92</v>
      </c>
      <c r="E39" t="s">
        <v>77</v>
      </c>
      <c r="F39" s="36">
        <v>95</v>
      </c>
      <c r="G39" s="36">
        <v>1350</v>
      </c>
      <c r="H39" s="36">
        <f t="shared" si="0"/>
        <v>128250</v>
      </c>
      <c r="I39" s="36">
        <v>9278</v>
      </c>
      <c r="J39" s="36">
        <f t="shared" si="1"/>
        <v>118972</v>
      </c>
    </row>
    <row r="40" spans="1:10" ht="15.75" customHeight="1" x14ac:dyDescent="0.2">
      <c r="A40" s="35">
        <v>45992</v>
      </c>
      <c r="B40" t="s">
        <v>271</v>
      </c>
      <c r="C40" t="s">
        <v>272</v>
      </c>
      <c r="D40" t="s">
        <v>92</v>
      </c>
      <c r="E40" t="s">
        <v>307</v>
      </c>
      <c r="F40" s="36">
        <v>114</v>
      </c>
      <c r="G40" s="36">
        <v>310</v>
      </c>
      <c r="H40" s="36">
        <f t="shared" si="0"/>
        <v>35340</v>
      </c>
      <c r="I40" s="36">
        <v>52473</v>
      </c>
      <c r="J40" s="36">
        <f t="shared" si="1"/>
        <v>-17133</v>
      </c>
    </row>
    <row r="41" spans="1:10" ht="15.75" customHeight="1" x14ac:dyDescent="0.2">
      <c r="A41" s="35">
        <v>45738</v>
      </c>
      <c r="B41" t="s">
        <v>268</v>
      </c>
      <c r="C41" t="s">
        <v>265</v>
      </c>
      <c r="D41" t="s">
        <v>85</v>
      </c>
      <c r="E41" t="s">
        <v>312</v>
      </c>
      <c r="F41" s="36">
        <v>36</v>
      </c>
      <c r="G41" s="36">
        <v>818</v>
      </c>
      <c r="H41" s="36">
        <f t="shared" si="0"/>
        <v>29448</v>
      </c>
      <c r="I41" s="36">
        <v>63178</v>
      </c>
      <c r="J41" s="36">
        <f t="shared" si="1"/>
        <v>-33730</v>
      </c>
    </row>
    <row r="42" spans="1:10" ht="15.75" customHeight="1" x14ac:dyDescent="0.2">
      <c r="A42" s="35">
        <v>45839</v>
      </c>
      <c r="B42" t="s">
        <v>268</v>
      </c>
      <c r="C42" t="s">
        <v>265</v>
      </c>
      <c r="D42" t="s">
        <v>92</v>
      </c>
      <c r="E42" t="s">
        <v>310</v>
      </c>
      <c r="F42" s="36">
        <v>120</v>
      </c>
      <c r="G42" s="36">
        <v>1455</v>
      </c>
      <c r="H42" s="36">
        <f t="shared" si="0"/>
        <v>174600</v>
      </c>
      <c r="I42" s="36">
        <v>84496</v>
      </c>
      <c r="J42" s="36">
        <f t="shared" si="1"/>
        <v>90104</v>
      </c>
    </row>
    <row r="43" spans="1:10" ht="15.75" customHeight="1" x14ac:dyDescent="0.2">
      <c r="A43" s="35">
        <v>46017</v>
      </c>
      <c r="B43" t="s">
        <v>263</v>
      </c>
      <c r="C43" t="s">
        <v>280</v>
      </c>
      <c r="D43" t="s">
        <v>304</v>
      </c>
      <c r="E43" t="s">
        <v>308</v>
      </c>
      <c r="F43" s="36">
        <v>17</v>
      </c>
      <c r="G43" s="36">
        <v>1404</v>
      </c>
      <c r="H43" s="36">
        <f t="shared" si="0"/>
        <v>23868</v>
      </c>
      <c r="I43" s="36">
        <v>47448</v>
      </c>
      <c r="J43" s="36">
        <f t="shared" si="1"/>
        <v>-23580</v>
      </c>
    </row>
    <row r="44" spans="1:10" ht="15.75" customHeight="1" x14ac:dyDescent="0.2">
      <c r="A44" s="35">
        <v>45819</v>
      </c>
      <c r="B44" t="s">
        <v>268</v>
      </c>
      <c r="C44" t="s">
        <v>265</v>
      </c>
      <c r="D44" t="s">
        <v>74</v>
      </c>
      <c r="E44" t="s">
        <v>84</v>
      </c>
      <c r="F44" s="36">
        <v>52</v>
      </c>
      <c r="G44" s="36">
        <v>663</v>
      </c>
      <c r="H44" s="36">
        <f t="shared" si="0"/>
        <v>34476</v>
      </c>
      <c r="I44" s="36">
        <v>109345</v>
      </c>
      <c r="J44" s="36">
        <f t="shared" si="1"/>
        <v>-74869</v>
      </c>
    </row>
    <row r="45" spans="1:10" ht="15.75" customHeight="1" x14ac:dyDescent="0.2">
      <c r="A45" s="35">
        <v>45661</v>
      </c>
      <c r="B45" t="s">
        <v>271</v>
      </c>
      <c r="C45" t="s">
        <v>309</v>
      </c>
      <c r="D45" t="s">
        <v>304</v>
      </c>
      <c r="E45" t="s">
        <v>77</v>
      </c>
      <c r="F45" s="36">
        <v>15</v>
      </c>
      <c r="G45" s="36">
        <v>1120</v>
      </c>
      <c r="H45" s="36">
        <f t="shared" si="0"/>
        <v>16800</v>
      </c>
      <c r="I45" s="36">
        <v>42209</v>
      </c>
      <c r="J45" s="36">
        <f t="shared" si="1"/>
        <v>-25409</v>
      </c>
    </row>
    <row r="46" spans="1:10" ht="15.75" customHeight="1" x14ac:dyDescent="0.2">
      <c r="A46" s="35">
        <v>45880</v>
      </c>
      <c r="B46" t="s">
        <v>263</v>
      </c>
      <c r="C46" t="s">
        <v>276</v>
      </c>
      <c r="D46" t="s">
        <v>304</v>
      </c>
      <c r="E46" t="s">
        <v>305</v>
      </c>
      <c r="F46" s="36">
        <v>120</v>
      </c>
      <c r="G46" s="36">
        <v>1386</v>
      </c>
      <c r="H46" s="36">
        <f t="shared" si="0"/>
        <v>166320</v>
      </c>
      <c r="I46" s="36">
        <v>52968</v>
      </c>
      <c r="J46" s="36">
        <f t="shared" si="1"/>
        <v>113352</v>
      </c>
    </row>
    <row r="47" spans="1:10" ht="15.75" customHeight="1" x14ac:dyDescent="0.2">
      <c r="A47" s="35">
        <v>46018</v>
      </c>
      <c r="B47" t="s">
        <v>268</v>
      </c>
      <c r="C47" t="s">
        <v>311</v>
      </c>
      <c r="D47" t="s">
        <v>304</v>
      </c>
      <c r="E47" t="s">
        <v>77</v>
      </c>
      <c r="F47" s="36">
        <v>110</v>
      </c>
      <c r="G47" s="36">
        <v>245</v>
      </c>
      <c r="H47" s="36">
        <f t="shared" si="0"/>
        <v>26950</v>
      </c>
      <c r="I47" s="36">
        <v>48285</v>
      </c>
      <c r="J47" s="36">
        <f t="shared" si="1"/>
        <v>-21335</v>
      </c>
    </row>
    <row r="48" spans="1:10" ht="15.75" customHeight="1" x14ac:dyDescent="0.2">
      <c r="A48" s="35">
        <v>45820</v>
      </c>
      <c r="B48" t="s">
        <v>268</v>
      </c>
      <c r="C48" t="s">
        <v>269</v>
      </c>
      <c r="D48" t="s">
        <v>304</v>
      </c>
      <c r="E48" t="s">
        <v>305</v>
      </c>
      <c r="F48" s="36">
        <v>87</v>
      </c>
      <c r="G48" s="36">
        <v>1494</v>
      </c>
      <c r="H48" s="36">
        <f t="shared" si="0"/>
        <v>129978</v>
      </c>
      <c r="I48" s="36">
        <v>49974</v>
      </c>
      <c r="J48" s="36">
        <f t="shared" si="1"/>
        <v>80004</v>
      </c>
    </row>
    <row r="49" spans="1:10" ht="15.75" customHeight="1" x14ac:dyDescent="0.2">
      <c r="A49" s="35">
        <v>45951</v>
      </c>
      <c r="B49" t="s">
        <v>268</v>
      </c>
      <c r="C49" t="s">
        <v>265</v>
      </c>
      <c r="D49" t="s">
        <v>306</v>
      </c>
      <c r="E49" t="s">
        <v>312</v>
      </c>
      <c r="F49" s="36">
        <v>56</v>
      </c>
      <c r="G49" s="36">
        <v>186</v>
      </c>
      <c r="H49" s="36">
        <f t="shared" si="0"/>
        <v>10416</v>
      </c>
      <c r="I49" s="36">
        <v>55669</v>
      </c>
      <c r="J49" s="36">
        <f t="shared" si="1"/>
        <v>-45253</v>
      </c>
    </row>
    <row r="50" spans="1:10" ht="15.75" customHeight="1" x14ac:dyDescent="0.2">
      <c r="A50" s="35">
        <v>46021</v>
      </c>
      <c r="B50" t="s">
        <v>263</v>
      </c>
      <c r="C50" t="s">
        <v>264</v>
      </c>
      <c r="D50" t="s">
        <v>92</v>
      </c>
      <c r="E50" t="s">
        <v>84</v>
      </c>
      <c r="F50" s="36">
        <v>48</v>
      </c>
      <c r="G50" s="36">
        <v>1244</v>
      </c>
      <c r="H50" s="36">
        <f t="shared" si="0"/>
        <v>59712</v>
      </c>
      <c r="I50" s="36">
        <v>85868</v>
      </c>
      <c r="J50" s="36">
        <f t="shared" si="1"/>
        <v>-26156</v>
      </c>
    </row>
    <row r="51" spans="1:10" ht="15.75" customHeight="1" x14ac:dyDescent="0.2">
      <c r="A51" s="35">
        <v>45895</v>
      </c>
      <c r="B51" t="s">
        <v>268</v>
      </c>
      <c r="C51" t="s">
        <v>265</v>
      </c>
      <c r="D51" t="s">
        <v>306</v>
      </c>
      <c r="E51" t="s">
        <v>310</v>
      </c>
      <c r="F51" s="36">
        <v>11</v>
      </c>
      <c r="G51" s="36">
        <v>1277</v>
      </c>
      <c r="H51" s="36">
        <f t="shared" si="0"/>
        <v>14047</v>
      </c>
      <c r="I51" s="36">
        <v>25132</v>
      </c>
      <c r="J51" s="36">
        <f t="shared" si="1"/>
        <v>-11085</v>
      </c>
    </row>
    <row r="52" spans="1:10" ht="15.75" customHeight="1" x14ac:dyDescent="0.2">
      <c r="A52" s="35">
        <v>45913</v>
      </c>
      <c r="B52" t="s">
        <v>268</v>
      </c>
      <c r="C52" t="s">
        <v>311</v>
      </c>
      <c r="D52" t="s">
        <v>306</v>
      </c>
      <c r="E52" t="s">
        <v>308</v>
      </c>
      <c r="F52" s="36">
        <v>36</v>
      </c>
      <c r="G52" s="36">
        <v>214</v>
      </c>
      <c r="H52" s="36">
        <f t="shared" si="0"/>
        <v>7704</v>
      </c>
      <c r="I52" s="36">
        <v>23739</v>
      </c>
      <c r="J52" s="36">
        <f t="shared" si="1"/>
        <v>-16035</v>
      </c>
    </row>
    <row r="53" spans="1:10" ht="15.75" customHeight="1" x14ac:dyDescent="0.2">
      <c r="A53" s="35">
        <v>45784</v>
      </c>
      <c r="B53" t="s">
        <v>271</v>
      </c>
      <c r="C53" t="s">
        <v>309</v>
      </c>
      <c r="D53" t="s">
        <v>304</v>
      </c>
      <c r="E53" t="s">
        <v>77</v>
      </c>
      <c r="F53" s="36">
        <v>68</v>
      </c>
      <c r="G53" s="36">
        <v>733</v>
      </c>
      <c r="H53" s="36">
        <f t="shared" si="0"/>
        <v>49844</v>
      </c>
      <c r="I53" s="36">
        <v>25844</v>
      </c>
      <c r="J53" s="36">
        <f t="shared" si="1"/>
        <v>24000</v>
      </c>
    </row>
    <row r="54" spans="1:10" ht="15.75" customHeight="1" x14ac:dyDescent="0.2">
      <c r="A54" s="35">
        <v>45963</v>
      </c>
      <c r="B54" t="s">
        <v>263</v>
      </c>
      <c r="C54" t="s">
        <v>280</v>
      </c>
      <c r="D54" t="s">
        <v>92</v>
      </c>
      <c r="E54" t="s">
        <v>307</v>
      </c>
      <c r="F54" s="36">
        <v>111</v>
      </c>
      <c r="G54" s="36">
        <v>361</v>
      </c>
      <c r="H54" s="36">
        <f t="shared" si="0"/>
        <v>40071</v>
      </c>
      <c r="I54" s="36">
        <v>61923</v>
      </c>
      <c r="J54" s="36">
        <f t="shared" si="1"/>
        <v>-21852</v>
      </c>
    </row>
    <row r="55" spans="1:10" ht="15.75" customHeight="1" x14ac:dyDescent="0.2">
      <c r="A55" s="35">
        <v>45697</v>
      </c>
      <c r="B55" t="s">
        <v>268</v>
      </c>
      <c r="C55" t="s">
        <v>265</v>
      </c>
      <c r="D55" t="s">
        <v>306</v>
      </c>
      <c r="E55" t="s">
        <v>308</v>
      </c>
      <c r="F55" s="36">
        <v>106</v>
      </c>
      <c r="G55" s="36">
        <v>1100</v>
      </c>
      <c r="H55" s="36">
        <f t="shared" si="0"/>
        <v>116600</v>
      </c>
      <c r="I55" s="36">
        <v>97878</v>
      </c>
      <c r="J55" s="36">
        <f t="shared" si="1"/>
        <v>18722</v>
      </c>
    </row>
    <row r="56" spans="1:10" ht="15.75" customHeight="1" x14ac:dyDescent="0.2">
      <c r="A56" s="35">
        <v>45745</v>
      </c>
      <c r="B56" t="s">
        <v>263</v>
      </c>
      <c r="C56" t="s">
        <v>280</v>
      </c>
      <c r="D56" t="s">
        <v>74</v>
      </c>
      <c r="E56" t="s">
        <v>273</v>
      </c>
      <c r="F56" s="36">
        <v>76</v>
      </c>
      <c r="G56" s="36">
        <v>279</v>
      </c>
      <c r="H56" s="36">
        <f t="shared" si="0"/>
        <v>21204</v>
      </c>
      <c r="I56" s="36">
        <v>113478</v>
      </c>
      <c r="J56" s="36">
        <f t="shared" si="1"/>
        <v>-92274</v>
      </c>
    </row>
    <row r="57" spans="1:10" ht="15.75" customHeight="1" x14ac:dyDescent="0.2">
      <c r="A57" s="35">
        <v>45893</v>
      </c>
      <c r="B57" t="s">
        <v>268</v>
      </c>
      <c r="C57" t="s">
        <v>269</v>
      </c>
      <c r="D57" t="s">
        <v>85</v>
      </c>
      <c r="E57" t="s">
        <v>77</v>
      </c>
      <c r="F57" s="36">
        <v>104</v>
      </c>
      <c r="G57" s="36">
        <v>375</v>
      </c>
      <c r="H57" s="36">
        <f t="shared" si="0"/>
        <v>39000</v>
      </c>
      <c r="I57" s="36">
        <v>86623</v>
      </c>
      <c r="J57" s="36">
        <f t="shared" si="1"/>
        <v>-47623</v>
      </c>
    </row>
    <row r="58" spans="1:10" ht="15.75" customHeight="1" x14ac:dyDescent="0.2">
      <c r="A58" s="35">
        <v>45949</v>
      </c>
      <c r="B58" t="s">
        <v>268</v>
      </c>
      <c r="C58" t="s">
        <v>265</v>
      </c>
      <c r="D58" t="s">
        <v>85</v>
      </c>
      <c r="E58" t="s">
        <v>77</v>
      </c>
      <c r="F58" s="36">
        <v>40</v>
      </c>
      <c r="G58" s="36">
        <v>1396</v>
      </c>
      <c r="H58" s="36">
        <f t="shared" si="0"/>
        <v>55840</v>
      </c>
      <c r="I58" s="36">
        <v>44406</v>
      </c>
      <c r="J58" s="36">
        <f t="shared" si="1"/>
        <v>11434</v>
      </c>
    </row>
    <row r="59" spans="1:10" ht="15.75" customHeight="1" x14ac:dyDescent="0.2">
      <c r="A59" s="35">
        <v>45982</v>
      </c>
      <c r="B59" t="s">
        <v>263</v>
      </c>
      <c r="C59" t="s">
        <v>276</v>
      </c>
      <c r="D59" t="s">
        <v>92</v>
      </c>
      <c r="E59" t="s">
        <v>310</v>
      </c>
      <c r="F59" s="36">
        <v>33</v>
      </c>
      <c r="G59" s="36">
        <v>202</v>
      </c>
      <c r="H59" s="36">
        <f t="shared" si="0"/>
        <v>6666</v>
      </c>
      <c r="I59" s="36">
        <v>67854</v>
      </c>
      <c r="J59" s="36">
        <f t="shared" si="1"/>
        <v>-61188</v>
      </c>
    </row>
    <row r="60" spans="1:10" ht="15.75" customHeight="1" x14ac:dyDescent="0.2">
      <c r="A60" s="35">
        <v>45669</v>
      </c>
      <c r="B60" t="s">
        <v>263</v>
      </c>
      <c r="C60" t="s">
        <v>276</v>
      </c>
      <c r="D60" t="s">
        <v>92</v>
      </c>
      <c r="E60" t="s">
        <v>273</v>
      </c>
      <c r="F60" s="36">
        <v>118</v>
      </c>
      <c r="G60" s="36">
        <v>1220</v>
      </c>
      <c r="H60" s="36">
        <f t="shared" si="0"/>
        <v>143960</v>
      </c>
      <c r="I60" s="36">
        <v>64314</v>
      </c>
      <c r="J60" s="36">
        <f t="shared" si="1"/>
        <v>79646</v>
      </c>
    </row>
    <row r="61" spans="1:10" ht="15.75" customHeight="1" x14ac:dyDescent="0.2">
      <c r="A61" s="35">
        <v>45778</v>
      </c>
      <c r="B61" t="s">
        <v>271</v>
      </c>
      <c r="C61" t="s">
        <v>309</v>
      </c>
      <c r="D61" t="s">
        <v>74</v>
      </c>
      <c r="E61" t="s">
        <v>77</v>
      </c>
      <c r="F61" s="36">
        <v>101</v>
      </c>
      <c r="G61" s="36">
        <v>644</v>
      </c>
      <c r="H61" s="36">
        <f t="shared" si="0"/>
        <v>65044</v>
      </c>
      <c r="I61" s="36">
        <v>28166</v>
      </c>
      <c r="J61" s="36">
        <f t="shared" si="1"/>
        <v>36878</v>
      </c>
    </row>
    <row r="62" spans="1:10" ht="15.75" customHeight="1" x14ac:dyDescent="0.2">
      <c r="A62" s="35">
        <v>45939</v>
      </c>
      <c r="B62" t="s">
        <v>268</v>
      </c>
      <c r="C62" t="s">
        <v>269</v>
      </c>
      <c r="D62" t="s">
        <v>306</v>
      </c>
      <c r="E62" t="s">
        <v>310</v>
      </c>
      <c r="F62" s="36">
        <v>56</v>
      </c>
      <c r="G62" s="36">
        <v>1241</v>
      </c>
      <c r="H62" s="36">
        <f t="shared" si="0"/>
        <v>69496</v>
      </c>
      <c r="I62" s="36">
        <v>110766</v>
      </c>
      <c r="J62" s="36">
        <f t="shared" si="1"/>
        <v>-41270</v>
      </c>
    </row>
    <row r="63" spans="1:10" ht="15.75" customHeight="1" x14ac:dyDescent="0.2">
      <c r="A63" s="35">
        <v>46013</v>
      </c>
      <c r="B63" t="s">
        <v>268</v>
      </c>
      <c r="C63" t="s">
        <v>311</v>
      </c>
      <c r="D63" t="s">
        <v>304</v>
      </c>
      <c r="E63" t="s">
        <v>77</v>
      </c>
      <c r="F63" s="36">
        <v>93</v>
      </c>
      <c r="G63" s="36">
        <v>403</v>
      </c>
      <c r="H63" s="36">
        <f t="shared" si="0"/>
        <v>37479</v>
      </c>
      <c r="I63" s="36">
        <v>102203</v>
      </c>
      <c r="J63" s="36">
        <f t="shared" si="1"/>
        <v>-64724</v>
      </c>
    </row>
    <row r="64" spans="1:10" ht="15.75" customHeight="1" x14ac:dyDescent="0.2">
      <c r="A64" s="35">
        <v>45857</v>
      </c>
      <c r="B64" t="s">
        <v>263</v>
      </c>
      <c r="C64" t="s">
        <v>264</v>
      </c>
      <c r="D64" t="s">
        <v>306</v>
      </c>
      <c r="E64" t="s">
        <v>307</v>
      </c>
      <c r="F64" s="36">
        <v>32</v>
      </c>
      <c r="G64" s="36">
        <v>210</v>
      </c>
      <c r="H64" s="36">
        <f t="shared" si="0"/>
        <v>6720</v>
      </c>
      <c r="I64" s="36">
        <v>18923</v>
      </c>
      <c r="J64" s="36">
        <f t="shared" si="1"/>
        <v>-12203</v>
      </c>
    </row>
    <row r="65" spans="1:10" ht="15.75" customHeight="1" x14ac:dyDescent="0.2">
      <c r="A65" s="35">
        <v>45943</v>
      </c>
      <c r="B65" t="s">
        <v>263</v>
      </c>
      <c r="C65" t="s">
        <v>276</v>
      </c>
      <c r="D65" t="s">
        <v>74</v>
      </c>
      <c r="E65" t="s">
        <v>84</v>
      </c>
      <c r="F65" s="36">
        <v>40</v>
      </c>
      <c r="G65" s="36">
        <v>195</v>
      </c>
      <c r="H65" s="36">
        <f t="shared" si="0"/>
        <v>7800</v>
      </c>
      <c r="I65" s="36">
        <v>17404</v>
      </c>
      <c r="J65" s="36">
        <f t="shared" si="1"/>
        <v>-9604</v>
      </c>
    </row>
    <row r="66" spans="1:10" ht="15.75" customHeight="1" x14ac:dyDescent="0.2">
      <c r="A66" s="35">
        <v>45957</v>
      </c>
      <c r="B66" t="s">
        <v>268</v>
      </c>
      <c r="C66" t="s">
        <v>311</v>
      </c>
      <c r="D66" t="s">
        <v>92</v>
      </c>
      <c r="E66" t="s">
        <v>273</v>
      </c>
      <c r="F66" s="36">
        <v>33</v>
      </c>
      <c r="G66" s="36">
        <v>648</v>
      </c>
      <c r="H66" s="36">
        <f t="shared" si="0"/>
        <v>21384</v>
      </c>
      <c r="I66" s="36">
        <v>31115</v>
      </c>
      <c r="J66" s="36">
        <f t="shared" si="1"/>
        <v>-9731</v>
      </c>
    </row>
    <row r="67" spans="1:10" ht="15.75" customHeight="1" x14ac:dyDescent="0.2">
      <c r="A67" s="35">
        <v>45873</v>
      </c>
      <c r="B67" t="s">
        <v>268</v>
      </c>
      <c r="C67" t="s">
        <v>269</v>
      </c>
      <c r="D67" t="s">
        <v>304</v>
      </c>
      <c r="E67" t="s">
        <v>77</v>
      </c>
      <c r="F67" s="36">
        <v>6</v>
      </c>
      <c r="G67" s="36">
        <v>626</v>
      </c>
      <c r="H67" s="36">
        <f t="shared" si="0"/>
        <v>3756</v>
      </c>
      <c r="I67" s="36">
        <v>45259</v>
      </c>
      <c r="J67" s="36">
        <f t="shared" si="1"/>
        <v>-41503</v>
      </c>
    </row>
    <row r="68" spans="1:10" ht="15.75" customHeight="1" x14ac:dyDescent="0.2">
      <c r="A68" s="35">
        <v>45739</v>
      </c>
      <c r="B68" t="s">
        <v>268</v>
      </c>
      <c r="C68" t="s">
        <v>265</v>
      </c>
      <c r="D68" t="s">
        <v>74</v>
      </c>
      <c r="E68" t="s">
        <v>273</v>
      </c>
      <c r="F68" s="36">
        <v>113</v>
      </c>
      <c r="G68" s="36">
        <v>1241</v>
      </c>
      <c r="H68" s="36">
        <f t="shared" si="0"/>
        <v>140233</v>
      </c>
      <c r="I68" s="36">
        <v>114312</v>
      </c>
      <c r="J68" s="36">
        <f t="shared" si="1"/>
        <v>25921</v>
      </c>
    </row>
    <row r="69" spans="1:10" ht="15.75" customHeight="1" x14ac:dyDescent="0.2">
      <c r="A69" s="35">
        <v>46010</v>
      </c>
      <c r="B69" t="s">
        <v>268</v>
      </c>
      <c r="C69" t="s">
        <v>265</v>
      </c>
      <c r="D69" t="s">
        <v>74</v>
      </c>
      <c r="E69" t="s">
        <v>310</v>
      </c>
      <c r="F69" s="36">
        <v>12</v>
      </c>
      <c r="G69" s="36">
        <v>626</v>
      </c>
      <c r="H69" s="36">
        <f t="shared" si="0"/>
        <v>7512</v>
      </c>
      <c r="I69" s="36">
        <v>89876</v>
      </c>
      <c r="J69" s="36">
        <f t="shared" si="1"/>
        <v>-82364</v>
      </c>
    </row>
    <row r="70" spans="1:10" ht="15.75" customHeight="1" x14ac:dyDescent="0.2">
      <c r="A70" s="35">
        <v>46005</v>
      </c>
      <c r="B70" t="s">
        <v>268</v>
      </c>
      <c r="C70" t="s">
        <v>269</v>
      </c>
      <c r="D70" t="s">
        <v>85</v>
      </c>
      <c r="E70" t="s">
        <v>305</v>
      </c>
      <c r="F70" s="36">
        <v>117</v>
      </c>
      <c r="G70" s="36">
        <v>313</v>
      </c>
      <c r="H70" s="36">
        <f t="shared" si="0"/>
        <v>36621</v>
      </c>
      <c r="I70" s="36">
        <v>69964</v>
      </c>
      <c r="J70" s="36">
        <f t="shared" si="1"/>
        <v>-33343</v>
      </c>
    </row>
    <row r="71" spans="1:10" ht="15.75" customHeight="1" x14ac:dyDescent="0.2">
      <c r="A71" s="35">
        <v>45689</v>
      </c>
      <c r="B71" t="s">
        <v>268</v>
      </c>
      <c r="C71" t="s">
        <v>265</v>
      </c>
      <c r="D71" t="s">
        <v>74</v>
      </c>
      <c r="E71" t="s">
        <v>310</v>
      </c>
      <c r="F71" s="36">
        <v>114</v>
      </c>
      <c r="G71" s="36">
        <v>201</v>
      </c>
      <c r="H71" s="36">
        <f t="shared" si="0"/>
        <v>22914</v>
      </c>
      <c r="I71" s="36">
        <v>66365</v>
      </c>
      <c r="J71" s="36">
        <f t="shared" si="1"/>
        <v>-43451</v>
      </c>
    </row>
    <row r="72" spans="1:10" ht="15.75" customHeight="1" x14ac:dyDescent="0.2">
      <c r="A72" s="35">
        <v>45933</v>
      </c>
      <c r="B72" t="s">
        <v>271</v>
      </c>
      <c r="C72" t="s">
        <v>270</v>
      </c>
      <c r="D72" t="s">
        <v>74</v>
      </c>
      <c r="E72" t="s">
        <v>273</v>
      </c>
      <c r="F72" s="36">
        <v>9</v>
      </c>
      <c r="G72" s="36">
        <v>428</v>
      </c>
      <c r="H72" s="36">
        <f t="shared" si="0"/>
        <v>3852</v>
      </c>
      <c r="I72" s="36">
        <v>54536</v>
      </c>
      <c r="J72" s="36">
        <f t="shared" si="1"/>
        <v>-50684</v>
      </c>
    </row>
    <row r="73" spans="1:10" ht="15.75" customHeight="1" x14ac:dyDescent="0.2">
      <c r="A73" s="35">
        <v>45915</v>
      </c>
      <c r="B73" t="s">
        <v>271</v>
      </c>
      <c r="C73" t="s">
        <v>272</v>
      </c>
      <c r="D73" t="s">
        <v>306</v>
      </c>
      <c r="E73" t="s">
        <v>308</v>
      </c>
      <c r="F73" s="36">
        <v>88</v>
      </c>
      <c r="G73" s="36">
        <v>664</v>
      </c>
      <c r="H73" s="36">
        <f t="shared" si="0"/>
        <v>58432</v>
      </c>
      <c r="I73" s="36">
        <v>38388</v>
      </c>
      <c r="J73" s="36">
        <f t="shared" si="1"/>
        <v>20044</v>
      </c>
    </row>
    <row r="74" spans="1:10" ht="15.75" customHeight="1" x14ac:dyDescent="0.2">
      <c r="A74" s="35">
        <v>45843</v>
      </c>
      <c r="B74" t="s">
        <v>271</v>
      </c>
      <c r="C74" t="s">
        <v>309</v>
      </c>
      <c r="D74" t="s">
        <v>74</v>
      </c>
      <c r="E74" t="s">
        <v>77</v>
      </c>
      <c r="F74" s="36">
        <v>64</v>
      </c>
      <c r="G74" s="36">
        <v>1425</v>
      </c>
      <c r="H74" s="36">
        <f t="shared" si="0"/>
        <v>91200</v>
      </c>
      <c r="I74" s="36">
        <v>29639</v>
      </c>
      <c r="J74" s="36">
        <f t="shared" si="1"/>
        <v>61561</v>
      </c>
    </row>
    <row r="75" spans="1:10" ht="15.75" customHeight="1" x14ac:dyDescent="0.2">
      <c r="A75" s="35">
        <v>45819</v>
      </c>
      <c r="B75" t="s">
        <v>263</v>
      </c>
      <c r="C75" t="s">
        <v>280</v>
      </c>
      <c r="D75" t="s">
        <v>92</v>
      </c>
      <c r="E75" t="s">
        <v>84</v>
      </c>
      <c r="F75" s="36">
        <v>70</v>
      </c>
      <c r="G75" s="36">
        <v>926</v>
      </c>
      <c r="H75" s="36">
        <f t="shared" si="0"/>
        <v>64820</v>
      </c>
      <c r="I75" s="36">
        <v>96724</v>
      </c>
      <c r="J75" s="36">
        <f t="shared" si="1"/>
        <v>-31904</v>
      </c>
    </row>
    <row r="76" spans="1:10" ht="15.75" customHeight="1" x14ac:dyDescent="0.2">
      <c r="A76" s="35">
        <v>45658</v>
      </c>
      <c r="B76" t="s">
        <v>263</v>
      </c>
      <c r="C76" t="s">
        <v>280</v>
      </c>
      <c r="D76" t="s">
        <v>74</v>
      </c>
      <c r="E76" t="s">
        <v>308</v>
      </c>
      <c r="F76" s="36">
        <v>41</v>
      </c>
      <c r="G76" s="36">
        <v>823</v>
      </c>
      <c r="H76" s="36">
        <f t="shared" si="0"/>
        <v>33743</v>
      </c>
      <c r="I76" s="36">
        <v>67742</v>
      </c>
      <c r="J76" s="36">
        <f t="shared" si="1"/>
        <v>-33999</v>
      </c>
    </row>
    <row r="77" spans="1:10" ht="15.75" customHeight="1" x14ac:dyDescent="0.2">
      <c r="A77" s="35">
        <v>45835</v>
      </c>
      <c r="B77" t="s">
        <v>271</v>
      </c>
      <c r="C77" t="s">
        <v>270</v>
      </c>
      <c r="D77" t="s">
        <v>85</v>
      </c>
      <c r="E77" t="s">
        <v>308</v>
      </c>
      <c r="F77" s="36">
        <v>97</v>
      </c>
      <c r="G77" s="36">
        <v>561</v>
      </c>
      <c r="H77" s="36">
        <f t="shared" si="0"/>
        <v>54417</v>
      </c>
      <c r="I77" s="36">
        <v>73116</v>
      </c>
      <c r="J77" s="36">
        <f t="shared" si="1"/>
        <v>-18699</v>
      </c>
    </row>
    <row r="78" spans="1:10" ht="15.75" customHeight="1" x14ac:dyDescent="0.2">
      <c r="A78" s="35">
        <v>45787</v>
      </c>
      <c r="B78" t="s">
        <v>268</v>
      </c>
      <c r="C78" t="s">
        <v>269</v>
      </c>
      <c r="D78" t="s">
        <v>85</v>
      </c>
      <c r="E78" t="s">
        <v>312</v>
      </c>
      <c r="F78" s="36">
        <v>68</v>
      </c>
      <c r="G78" s="36">
        <v>1332</v>
      </c>
      <c r="H78" s="36">
        <f t="shared" si="0"/>
        <v>90576</v>
      </c>
      <c r="I78" s="36">
        <v>35339</v>
      </c>
      <c r="J78" s="36">
        <f t="shared" si="1"/>
        <v>55237</v>
      </c>
    </row>
    <row r="79" spans="1:10" ht="15.75" customHeight="1" x14ac:dyDescent="0.2">
      <c r="A79" s="35">
        <v>45884</v>
      </c>
      <c r="B79" t="s">
        <v>268</v>
      </c>
      <c r="C79" t="s">
        <v>311</v>
      </c>
      <c r="D79" t="s">
        <v>85</v>
      </c>
      <c r="E79" t="s">
        <v>307</v>
      </c>
      <c r="F79" s="36">
        <v>119</v>
      </c>
      <c r="G79" s="36">
        <v>131</v>
      </c>
      <c r="H79" s="36">
        <f t="shared" si="0"/>
        <v>15589</v>
      </c>
      <c r="I79" s="36">
        <v>12117</v>
      </c>
      <c r="J79" s="36">
        <f t="shared" si="1"/>
        <v>3472</v>
      </c>
    </row>
    <row r="80" spans="1:10" ht="15.75" customHeight="1" x14ac:dyDescent="0.2">
      <c r="A80" s="35">
        <v>45666</v>
      </c>
      <c r="B80" t="s">
        <v>271</v>
      </c>
      <c r="C80" t="s">
        <v>270</v>
      </c>
      <c r="D80" t="s">
        <v>304</v>
      </c>
      <c r="E80" t="s">
        <v>308</v>
      </c>
      <c r="F80" s="36">
        <v>111</v>
      </c>
      <c r="G80" s="36">
        <v>824</v>
      </c>
      <c r="H80" s="36">
        <f t="shared" si="0"/>
        <v>91464</v>
      </c>
      <c r="I80" s="36">
        <v>77223</v>
      </c>
      <c r="J80" s="36">
        <f t="shared" si="1"/>
        <v>14241</v>
      </c>
    </row>
    <row r="81" spans="1:10" ht="15.75" customHeight="1" x14ac:dyDescent="0.2">
      <c r="A81" s="35">
        <v>45839</v>
      </c>
      <c r="B81" t="s">
        <v>271</v>
      </c>
      <c r="C81" t="s">
        <v>309</v>
      </c>
      <c r="D81" t="s">
        <v>85</v>
      </c>
      <c r="E81" t="s">
        <v>308</v>
      </c>
      <c r="F81" s="36">
        <v>5</v>
      </c>
      <c r="G81" s="36">
        <v>193</v>
      </c>
      <c r="H81" s="36">
        <f t="shared" si="0"/>
        <v>965</v>
      </c>
      <c r="I81" s="36">
        <v>94011</v>
      </c>
      <c r="J81" s="36">
        <f t="shared" si="1"/>
        <v>-93046</v>
      </c>
    </row>
    <row r="82" spans="1:10" ht="15.75" customHeight="1" x14ac:dyDescent="0.2">
      <c r="A82" s="35">
        <v>45975</v>
      </c>
      <c r="B82" t="s">
        <v>268</v>
      </c>
      <c r="C82" t="s">
        <v>265</v>
      </c>
      <c r="D82" t="s">
        <v>85</v>
      </c>
      <c r="E82" t="s">
        <v>77</v>
      </c>
      <c r="F82" s="36">
        <v>106</v>
      </c>
      <c r="G82" s="36">
        <v>452</v>
      </c>
      <c r="H82" s="36">
        <f t="shared" si="0"/>
        <v>47912</v>
      </c>
      <c r="I82" s="36">
        <v>69067</v>
      </c>
      <c r="J82" s="36">
        <f t="shared" si="1"/>
        <v>-21155</v>
      </c>
    </row>
    <row r="83" spans="1:10" ht="15.75" customHeight="1" x14ac:dyDescent="0.2">
      <c r="A83" s="35">
        <v>45894</v>
      </c>
      <c r="B83" t="s">
        <v>263</v>
      </c>
      <c r="C83" t="s">
        <v>280</v>
      </c>
      <c r="D83" t="s">
        <v>92</v>
      </c>
      <c r="E83" t="s">
        <v>305</v>
      </c>
      <c r="F83" s="36">
        <v>42</v>
      </c>
      <c r="G83" s="36">
        <v>767</v>
      </c>
      <c r="H83" s="36">
        <f t="shared" si="0"/>
        <v>32214</v>
      </c>
      <c r="I83" s="36">
        <v>68265</v>
      </c>
      <c r="J83" s="36">
        <f t="shared" si="1"/>
        <v>-36051</v>
      </c>
    </row>
    <row r="84" spans="1:10" ht="15.75" customHeight="1" x14ac:dyDescent="0.2">
      <c r="A84" s="35">
        <v>45703</v>
      </c>
      <c r="B84" t="s">
        <v>268</v>
      </c>
      <c r="C84" t="s">
        <v>265</v>
      </c>
      <c r="D84" t="s">
        <v>92</v>
      </c>
      <c r="E84" t="s">
        <v>310</v>
      </c>
      <c r="F84" s="36">
        <v>102</v>
      </c>
      <c r="G84" s="36">
        <v>991</v>
      </c>
      <c r="H84" s="36">
        <f t="shared" si="0"/>
        <v>101082</v>
      </c>
      <c r="I84" s="36">
        <v>25846</v>
      </c>
      <c r="J84" s="36">
        <f t="shared" si="1"/>
        <v>75236</v>
      </c>
    </row>
    <row r="85" spans="1:10" ht="15.75" customHeight="1" x14ac:dyDescent="0.2">
      <c r="A85" s="35">
        <v>45682</v>
      </c>
      <c r="B85" t="s">
        <v>268</v>
      </c>
      <c r="C85" t="s">
        <v>311</v>
      </c>
      <c r="D85" t="s">
        <v>85</v>
      </c>
      <c r="E85" t="s">
        <v>84</v>
      </c>
      <c r="F85" s="36">
        <v>69</v>
      </c>
      <c r="G85" s="36">
        <v>254</v>
      </c>
      <c r="H85" s="36">
        <f t="shared" si="0"/>
        <v>17526</v>
      </c>
      <c r="I85" s="36">
        <v>82769</v>
      </c>
      <c r="J85" s="36">
        <f t="shared" si="1"/>
        <v>-65243</v>
      </c>
    </row>
    <row r="86" spans="1:10" ht="15.75" customHeight="1" x14ac:dyDescent="0.2">
      <c r="A86" s="35">
        <v>45732</v>
      </c>
      <c r="B86" t="s">
        <v>268</v>
      </c>
      <c r="C86" t="s">
        <v>311</v>
      </c>
      <c r="D86" t="s">
        <v>92</v>
      </c>
      <c r="E86" t="s">
        <v>273</v>
      </c>
      <c r="F86" s="36">
        <v>23</v>
      </c>
      <c r="G86" s="36">
        <v>567</v>
      </c>
      <c r="H86" s="36">
        <f t="shared" si="0"/>
        <v>13041</v>
      </c>
      <c r="I86" s="36">
        <v>74340</v>
      </c>
      <c r="J86" s="36">
        <f t="shared" si="1"/>
        <v>-61299</v>
      </c>
    </row>
    <row r="87" spans="1:10" ht="15.75" customHeight="1" x14ac:dyDescent="0.2">
      <c r="A87" s="35">
        <v>45966</v>
      </c>
      <c r="B87" t="s">
        <v>268</v>
      </c>
      <c r="C87" t="s">
        <v>265</v>
      </c>
      <c r="D87" t="s">
        <v>306</v>
      </c>
      <c r="E87" t="s">
        <v>308</v>
      </c>
      <c r="F87" s="36">
        <v>93</v>
      </c>
      <c r="G87" s="36">
        <v>607</v>
      </c>
      <c r="H87" s="36">
        <f t="shared" si="0"/>
        <v>56451</v>
      </c>
      <c r="I87" s="36">
        <v>19924</v>
      </c>
      <c r="J87" s="36">
        <f t="shared" si="1"/>
        <v>36527</v>
      </c>
    </row>
    <row r="88" spans="1:10" ht="15.75" customHeight="1" x14ac:dyDescent="0.2">
      <c r="A88" s="35">
        <v>46014</v>
      </c>
      <c r="B88" t="s">
        <v>268</v>
      </c>
      <c r="C88" t="s">
        <v>265</v>
      </c>
      <c r="D88" t="s">
        <v>85</v>
      </c>
      <c r="E88" t="s">
        <v>312</v>
      </c>
      <c r="F88" s="36">
        <v>5</v>
      </c>
      <c r="G88" s="36">
        <v>1192</v>
      </c>
      <c r="H88" s="36">
        <f t="shared" si="0"/>
        <v>5960</v>
      </c>
      <c r="I88" s="36">
        <v>20310</v>
      </c>
      <c r="J88" s="36">
        <f t="shared" si="1"/>
        <v>-14350</v>
      </c>
    </row>
    <row r="89" spans="1:10" ht="15.75" customHeight="1" x14ac:dyDescent="0.2">
      <c r="A89" s="35">
        <v>46021</v>
      </c>
      <c r="B89" t="s">
        <v>268</v>
      </c>
      <c r="C89" t="s">
        <v>311</v>
      </c>
      <c r="D89" t="s">
        <v>92</v>
      </c>
      <c r="E89" t="s">
        <v>310</v>
      </c>
      <c r="F89" s="36">
        <v>31</v>
      </c>
      <c r="G89" s="36">
        <v>1427</v>
      </c>
      <c r="H89" s="36">
        <f t="shared" si="0"/>
        <v>44237</v>
      </c>
      <c r="I89" s="36">
        <v>27973</v>
      </c>
      <c r="J89" s="36">
        <f t="shared" si="1"/>
        <v>16264</v>
      </c>
    </row>
    <row r="90" spans="1:10" ht="15.75" customHeight="1" x14ac:dyDescent="0.2">
      <c r="A90" s="35">
        <v>45662</v>
      </c>
      <c r="B90" t="s">
        <v>268</v>
      </c>
      <c r="C90" t="s">
        <v>311</v>
      </c>
      <c r="D90" t="s">
        <v>304</v>
      </c>
      <c r="E90" t="s">
        <v>312</v>
      </c>
      <c r="F90" s="36">
        <v>92</v>
      </c>
      <c r="G90" s="36">
        <v>776</v>
      </c>
      <c r="H90" s="36">
        <f t="shared" si="0"/>
        <v>71392</v>
      </c>
      <c r="I90" s="36">
        <v>61895</v>
      </c>
      <c r="J90" s="36">
        <f t="shared" si="1"/>
        <v>9497</v>
      </c>
    </row>
    <row r="91" spans="1:10" ht="15.75" customHeight="1" x14ac:dyDescent="0.2">
      <c r="A91" s="35">
        <v>46000</v>
      </c>
      <c r="B91" t="s">
        <v>271</v>
      </c>
      <c r="C91" t="s">
        <v>272</v>
      </c>
      <c r="D91" t="s">
        <v>74</v>
      </c>
      <c r="E91" t="s">
        <v>273</v>
      </c>
      <c r="F91" s="36">
        <v>87</v>
      </c>
      <c r="G91" s="36">
        <v>547</v>
      </c>
      <c r="H91" s="36">
        <f t="shared" si="0"/>
        <v>47589</v>
      </c>
      <c r="I91" s="36">
        <v>27431</v>
      </c>
      <c r="J91" s="36">
        <f t="shared" si="1"/>
        <v>20158</v>
      </c>
    </row>
    <row r="92" spans="1:10" ht="15.75" customHeight="1" x14ac:dyDescent="0.2">
      <c r="A92" s="35">
        <v>45822</v>
      </c>
      <c r="B92" t="s">
        <v>268</v>
      </c>
      <c r="C92" t="s">
        <v>311</v>
      </c>
      <c r="D92" t="s">
        <v>304</v>
      </c>
      <c r="E92" t="s">
        <v>308</v>
      </c>
      <c r="F92" s="36">
        <v>107</v>
      </c>
      <c r="G92" s="36">
        <v>560</v>
      </c>
      <c r="H92" s="36">
        <f t="shared" si="0"/>
        <v>59920</v>
      </c>
      <c r="I92" s="36">
        <v>71556</v>
      </c>
      <c r="J92" s="36">
        <f t="shared" si="1"/>
        <v>-11636</v>
      </c>
    </row>
    <row r="93" spans="1:10" ht="15.75" customHeight="1" x14ac:dyDescent="0.2">
      <c r="A93" s="35">
        <v>45699</v>
      </c>
      <c r="B93" t="s">
        <v>268</v>
      </c>
      <c r="C93" t="s">
        <v>265</v>
      </c>
      <c r="D93" t="s">
        <v>85</v>
      </c>
      <c r="E93" t="s">
        <v>77</v>
      </c>
      <c r="F93" s="36">
        <v>41</v>
      </c>
      <c r="G93" s="36">
        <v>1227</v>
      </c>
      <c r="H93" s="36">
        <f t="shared" si="0"/>
        <v>50307</v>
      </c>
      <c r="I93" s="36">
        <v>33996</v>
      </c>
      <c r="J93" s="36">
        <f t="shared" si="1"/>
        <v>16311</v>
      </c>
    </row>
    <row r="94" spans="1:10" ht="15.75" customHeight="1" x14ac:dyDescent="0.2">
      <c r="A94" s="35">
        <v>45772</v>
      </c>
      <c r="B94" t="s">
        <v>263</v>
      </c>
      <c r="C94" t="s">
        <v>276</v>
      </c>
      <c r="D94" t="s">
        <v>304</v>
      </c>
      <c r="E94" t="s">
        <v>312</v>
      </c>
      <c r="F94" s="36">
        <v>50</v>
      </c>
      <c r="G94" s="36">
        <v>566</v>
      </c>
      <c r="H94" s="36">
        <f t="shared" si="0"/>
        <v>28300</v>
      </c>
      <c r="I94" s="36">
        <v>94391</v>
      </c>
      <c r="J94" s="36">
        <f t="shared" si="1"/>
        <v>-66091</v>
      </c>
    </row>
    <row r="95" spans="1:10" ht="15.75" customHeight="1" x14ac:dyDescent="0.2">
      <c r="A95" s="35">
        <v>45733</v>
      </c>
      <c r="B95" t="s">
        <v>268</v>
      </c>
      <c r="C95" t="s">
        <v>311</v>
      </c>
      <c r="D95" t="s">
        <v>74</v>
      </c>
      <c r="E95" t="s">
        <v>307</v>
      </c>
      <c r="F95" s="36">
        <v>46</v>
      </c>
      <c r="G95" s="36">
        <v>1094</v>
      </c>
      <c r="H95" s="36">
        <f t="shared" si="0"/>
        <v>50324</v>
      </c>
      <c r="I95" s="36">
        <v>71282</v>
      </c>
      <c r="J95" s="36">
        <f t="shared" si="1"/>
        <v>-20958</v>
      </c>
    </row>
    <row r="96" spans="1:10" ht="15.75" customHeight="1" x14ac:dyDescent="0.2">
      <c r="A96" s="35">
        <v>45933</v>
      </c>
      <c r="B96" t="s">
        <v>263</v>
      </c>
      <c r="C96" t="s">
        <v>264</v>
      </c>
      <c r="D96" t="s">
        <v>306</v>
      </c>
      <c r="E96" t="s">
        <v>307</v>
      </c>
      <c r="F96" s="36">
        <v>61</v>
      </c>
      <c r="G96" s="36">
        <v>141</v>
      </c>
      <c r="H96" s="36">
        <f t="shared" si="0"/>
        <v>8601</v>
      </c>
      <c r="I96" s="36">
        <v>37139</v>
      </c>
      <c r="J96" s="36">
        <f t="shared" si="1"/>
        <v>-28538</v>
      </c>
    </row>
    <row r="97" spans="1:10" ht="15.75" customHeight="1" x14ac:dyDescent="0.2">
      <c r="A97" s="35">
        <v>45995</v>
      </c>
      <c r="B97" t="s">
        <v>271</v>
      </c>
      <c r="C97" t="s">
        <v>309</v>
      </c>
      <c r="D97" t="s">
        <v>306</v>
      </c>
      <c r="E97" t="s">
        <v>77</v>
      </c>
      <c r="F97" s="36">
        <v>50</v>
      </c>
      <c r="G97" s="36">
        <v>102</v>
      </c>
      <c r="H97" s="36">
        <f t="shared" si="0"/>
        <v>5100</v>
      </c>
      <c r="I97" s="36">
        <v>79421</v>
      </c>
      <c r="J97" s="36">
        <f t="shared" si="1"/>
        <v>-74321</v>
      </c>
    </row>
    <row r="98" spans="1:10" ht="15.75" customHeight="1" x14ac:dyDescent="0.2">
      <c r="A98" s="35">
        <v>46022</v>
      </c>
      <c r="B98" t="s">
        <v>271</v>
      </c>
      <c r="C98" t="s">
        <v>270</v>
      </c>
      <c r="D98" t="s">
        <v>85</v>
      </c>
      <c r="E98" t="s">
        <v>310</v>
      </c>
      <c r="F98" s="36">
        <v>22</v>
      </c>
      <c r="G98" s="36">
        <v>1018</v>
      </c>
      <c r="H98" s="36">
        <f t="shared" si="0"/>
        <v>22396</v>
      </c>
      <c r="I98" s="36">
        <v>62950</v>
      </c>
      <c r="J98" s="36">
        <f t="shared" si="1"/>
        <v>-40554</v>
      </c>
    </row>
    <row r="99" spans="1:10" ht="15.75" customHeight="1" x14ac:dyDescent="0.2">
      <c r="A99" s="35">
        <v>45792</v>
      </c>
      <c r="B99" t="s">
        <v>263</v>
      </c>
      <c r="C99" t="s">
        <v>276</v>
      </c>
      <c r="D99" t="s">
        <v>85</v>
      </c>
      <c r="E99" t="s">
        <v>312</v>
      </c>
      <c r="F99" s="36">
        <v>13</v>
      </c>
      <c r="G99" s="36">
        <v>1209</v>
      </c>
      <c r="H99" s="36">
        <f t="shared" si="0"/>
        <v>15717</v>
      </c>
      <c r="I99" s="36">
        <v>74629</v>
      </c>
      <c r="J99" s="36">
        <f t="shared" si="1"/>
        <v>-58912</v>
      </c>
    </row>
    <row r="100" spans="1:10" ht="15.75" customHeight="1" x14ac:dyDescent="0.2">
      <c r="A100" s="35">
        <v>45917</v>
      </c>
      <c r="B100" t="s">
        <v>268</v>
      </c>
      <c r="C100" t="s">
        <v>269</v>
      </c>
      <c r="D100" t="s">
        <v>306</v>
      </c>
      <c r="E100" t="s">
        <v>305</v>
      </c>
      <c r="F100" s="36">
        <v>42</v>
      </c>
      <c r="G100" s="36">
        <v>545</v>
      </c>
      <c r="H100" s="36">
        <f t="shared" si="0"/>
        <v>22890</v>
      </c>
      <c r="I100" s="36">
        <v>36160</v>
      </c>
      <c r="J100" s="36">
        <f t="shared" si="1"/>
        <v>-13270</v>
      </c>
    </row>
    <row r="101" spans="1:10" ht="15.75" customHeight="1" x14ac:dyDescent="0.2">
      <c r="A101" s="35">
        <v>45898</v>
      </c>
      <c r="B101" t="s">
        <v>271</v>
      </c>
      <c r="C101" t="s">
        <v>272</v>
      </c>
      <c r="D101" t="s">
        <v>74</v>
      </c>
      <c r="E101" t="s">
        <v>310</v>
      </c>
      <c r="F101" s="36">
        <v>29</v>
      </c>
      <c r="G101" s="36">
        <v>387</v>
      </c>
      <c r="H101" s="36">
        <f t="shared" si="0"/>
        <v>11223</v>
      </c>
      <c r="I101" s="36">
        <v>15879</v>
      </c>
      <c r="J101" s="36">
        <f t="shared" si="1"/>
        <v>-4656</v>
      </c>
    </row>
    <row r="102" spans="1:10" ht="15.75" customHeight="1" x14ac:dyDescent="0.2">
      <c r="A102" s="35">
        <v>45717</v>
      </c>
      <c r="B102" t="s">
        <v>271</v>
      </c>
      <c r="C102" t="s">
        <v>270</v>
      </c>
      <c r="D102" t="s">
        <v>92</v>
      </c>
      <c r="E102" t="s">
        <v>312</v>
      </c>
      <c r="F102" s="36">
        <v>13</v>
      </c>
      <c r="G102" s="36">
        <v>726</v>
      </c>
      <c r="H102" s="36">
        <f t="shared" si="0"/>
        <v>9438</v>
      </c>
      <c r="I102" s="36">
        <v>113552</v>
      </c>
      <c r="J102" s="36">
        <f t="shared" si="1"/>
        <v>-104114</v>
      </c>
    </row>
    <row r="103" spans="1:10" ht="15.75" customHeight="1" x14ac:dyDescent="0.2">
      <c r="A103" s="35">
        <v>45659</v>
      </c>
      <c r="B103" t="s">
        <v>268</v>
      </c>
      <c r="C103" t="s">
        <v>311</v>
      </c>
      <c r="D103" t="s">
        <v>92</v>
      </c>
      <c r="E103" t="s">
        <v>273</v>
      </c>
      <c r="F103" s="36">
        <v>9</v>
      </c>
      <c r="G103" s="36">
        <v>1140</v>
      </c>
      <c r="H103" s="36">
        <f t="shared" si="0"/>
        <v>10260</v>
      </c>
      <c r="I103" s="36">
        <v>118695</v>
      </c>
      <c r="J103" s="36">
        <f t="shared" si="1"/>
        <v>-108435</v>
      </c>
    </row>
    <row r="104" spans="1:10" ht="15.75" customHeight="1" x14ac:dyDescent="0.2">
      <c r="A104" s="35">
        <v>45808</v>
      </c>
      <c r="B104" t="s">
        <v>268</v>
      </c>
      <c r="C104" t="s">
        <v>269</v>
      </c>
      <c r="D104" t="s">
        <v>85</v>
      </c>
      <c r="E104" t="s">
        <v>77</v>
      </c>
      <c r="F104" s="36">
        <v>57</v>
      </c>
      <c r="G104" s="36">
        <v>406</v>
      </c>
      <c r="H104" s="36">
        <f t="shared" si="0"/>
        <v>23142</v>
      </c>
      <c r="I104" s="36">
        <v>107016</v>
      </c>
      <c r="J104" s="36">
        <f t="shared" si="1"/>
        <v>-83874</v>
      </c>
    </row>
    <row r="105" spans="1:10" ht="15.75" customHeight="1" x14ac:dyDescent="0.2">
      <c r="A105" s="35">
        <v>45922</v>
      </c>
      <c r="B105" t="s">
        <v>271</v>
      </c>
      <c r="C105" t="s">
        <v>309</v>
      </c>
      <c r="D105" t="s">
        <v>85</v>
      </c>
      <c r="E105" t="s">
        <v>307</v>
      </c>
      <c r="F105" s="36">
        <v>62</v>
      </c>
      <c r="G105" s="36">
        <v>1257</v>
      </c>
      <c r="H105" s="36">
        <f t="shared" si="0"/>
        <v>77934</v>
      </c>
      <c r="I105" s="36">
        <v>94059</v>
      </c>
      <c r="J105" s="36">
        <f t="shared" si="1"/>
        <v>-16125</v>
      </c>
    </row>
    <row r="106" spans="1:10" ht="15.75" customHeight="1" x14ac:dyDescent="0.2">
      <c r="A106" s="35">
        <v>45698</v>
      </c>
      <c r="B106" t="s">
        <v>271</v>
      </c>
      <c r="C106" t="s">
        <v>272</v>
      </c>
      <c r="D106" t="s">
        <v>74</v>
      </c>
      <c r="E106" t="s">
        <v>305</v>
      </c>
      <c r="F106" s="36">
        <v>108</v>
      </c>
      <c r="G106" s="36">
        <v>960</v>
      </c>
      <c r="H106" s="36">
        <f t="shared" si="0"/>
        <v>103680</v>
      </c>
      <c r="I106" s="36">
        <v>104671</v>
      </c>
      <c r="J106" s="36">
        <f t="shared" si="1"/>
        <v>-991</v>
      </c>
    </row>
    <row r="107" spans="1:10" ht="15.75" customHeight="1" x14ac:dyDescent="0.2">
      <c r="A107" s="35">
        <v>45942</v>
      </c>
      <c r="B107" t="s">
        <v>268</v>
      </c>
      <c r="C107" t="s">
        <v>311</v>
      </c>
      <c r="D107" t="s">
        <v>306</v>
      </c>
      <c r="E107" t="s">
        <v>307</v>
      </c>
      <c r="F107" s="36">
        <v>85</v>
      </c>
      <c r="G107" s="36">
        <v>861</v>
      </c>
      <c r="H107" s="36">
        <f t="shared" si="0"/>
        <v>73185</v>
      </c>
      <c r="I107" s="36">
        <v>77824</v>
      </c>
      <c r="J107" s="36">
        <f t="shared" si="1"/>
        <v>-4639</v>
      </c>
    </row>
    <row r="108" spans="1:10" ht="15.75" customHeight="1" x14ac:dyDescent="0.2">
      <c r="A108" s="35">
        <v>45967</v>
      </c>
      <c r="B108" t="s">
        <v>271</v>
      </c>
      <c r="C108" t="s">
        <v>309</v>
      </c>
      <c r="D108" t="s">
        <v>306</v>
      </c>
      <c r="E108" t="s">
        <v>312</v>
      </c>
      <c r="F108" s="36">
        <v>79</v>
      </c>
      <c r="G108" s="36">
        <v>1148</v>
      </c>
      <c r="H108" s="36">
        <f t="shared" si="0"/>
        <v>90692</v>
      </c>
      <c r="I108" s="36">
        <v>6953</v>
      </c>
      <c r="J108" s="36">
        <f t="shared" si="1"/>
        <v>83739</v>
      </c>
    </row>
    <row r="109" spans="1:10" ht="15.75" customHeight="1" x14ac:dyDescent="0.2">
      <c r="A109" s="35">
        <v>45947</v>
      </c>
      <c r="B109" t="s">
        <v>271</v>
      </c>
      <c r="C109" t="s">
        <v>272</v>
      </c>
      <c r="D109" t="s">
        <v>92</v>
      </c>
      <c r="E109" t="s">
        <v>307</v>
      </c>
      <c r="F109" s="36">
        <v>110</v>
      </c>
      <c r="G109" s="36">
        <v>903</v>
      </c>
      <c r="H109" s="36">
        <f t="shared" si="0"/>
        <v>99330</v>
      </c>
      <c r="I109" s="36">
        <v>45059</v>
      </c>
      <c r="J109" s="36">
        <f t="shared" si="1"/>
        <v>54271</v>
      </c>
    </row>
    <row r="110" spans="1:10" ht="15.75" customHeight="1" x14ac:dyDescent="0.2">
      <c r="A110" s="35">
        <v>45858</v>
      </c>
      <c r="B110" t="s">
        <v>271</v>
      </c>
      <c r="C110" t="s">
        <v>272</v>
      </c>
      <c r="D110" t="s">
        <v>306</v>
      </c>
      <c r="E110" t="s">
        <v>77</v>
      </c>
      <c r="F110" s="36">
        <v>51</v>
      </c>
      <c r="G110" s="36">
        <v>1143</v>
      </c>
      <c r="H110" s="36">
        <f t="shared" si="0"/>
        <v>58293</v>
      </c>
      <c r="I110" s="36">
        <v>119775</v>
      </c>
      <c r="J110" s="36">
        <f t="shared" si="1"/>
        <v>-61482</v>
      </c>
    </row>
    <row r="111" spans="1:10" ht="15.75" customHeight="1" x14ac:dyDescent="0.2">
      <c r="A111" s="35">
        <v>45988</v>
      </c>
      <c r="B111" t="s">
        <v>271</v>
      </c>
      <c r="C111" t="s">
        <v>270</v>
      </c>
      <c r="D111" t="s">
        <v>74</v>
      </c>
      <c r="E111" t="s">
        <v>312</v>
      </c>
      <c r="F111" s="36">
        <v>119</v>
      </c>
      <c r="G111" s="36">
        <v>585</v>
      </c>
      <c r="H111" s="36">
        <f t="shared" si="0"/>
        <v>69615</v>
      </c>
      <c r="I111" s="36">
        <v>103401</v>
      </c>
      <c r="J111" s="36">
        <f t="shared" si="1"/>
        <v>-33786</v>
      </c>
    </row>
    <row r="112" spans="1:10" ht="15.75" customHeight="1" x14ac:dyDescent="0.2">
      <c r="A112" s="35">
        <v>45998</v>
      </c>
      <c r="B112" t="s">
        <v>263</v>
      </c>
      <c r="C112" t="s">
        <v>264</v>
      </c>
      <c r="D112" t="s">
        <v>306</v>
      </c>
      <c r="E112" t="s">
        <v>273</v>
      </c>
      <c r="F112" s="36">
        <v>112</v>
      </c>
      <c r="G112" s="36">
        <v>1263</v>
      </c>
      <c r="H112" s="36">
        <f t="shared" si="0"/>
        <v>141456</v>
      </c>
      <c r="I112" s="36">
        <v>8306</v>
      </c>
      <c r="J112" s="36">
        <f t="shared" si="1"/>
        <v>133150</v>
      </c>
    </row>
    <row r="113" spans="1:10" ht="15.75" customHeight="1" x14ac:dyDescent="0.2">
      <c r="A113" s="35">
        <v>45987</v>
      </c>
      <c r="B113" t="s">
        <v>263</v>
      </c>
      <c r="C113" t="s">
        <v>276</v>
      </c>
      <c r="D113" t="s">
        <v>85</v>
      </c>
      <c r="E113" t="s">
        <v>308</v>
      </c>
      <c r="F113" s="36">
        <v>33</v>
      </c>
      <c r="G113" s="36">
        <v>681</v>
      </c>
      <c r="H113" s="36">
        <f t="shared" si="0"/>
        <v>22473</v>
      </c>
      <c r="I113" s="36">
        <v>108384</v>
      </c>
      <c r="J113" s="36">
        <f t="shared" si="1"/>
        <v>-85911</v>
      </c>
    </row>
    <row r="114" spans="1:10" ht="15.75" customHeight="1" x14ac:dyDescent="0.2">
      <c r="A114" s="35">
        <v>45826</v>
      </c>
      <c r="B114" t="s">
        <v>271</v>
      </c>
      <c r="C114" t="s">
        <v>309</v>
      </c>
      <c r="D114" t="s">
        <v>85</v>
      </c>
      <c r="E114" t="s">
        <v>308</v>
      </c>
      <c r="F114" s="36">
        <v>112</v>
      </c>
      <c r="G114" s="36">
        <v>966</v>
      </c>
      <c r="H114" s="36">
        <f t="shared" si="0"/>
        <v>108192</v>
      </c>
      <c r="I114" s="36">
        <v>58016</v>
      </c>
      <c r="J114" s="36">
        <f t="shared" si="1"/>
        <v>50176</v>
      </c>
    </row>
    <row r="115" spans="1:10" ht="15.75" customHeight="1" x14ac:dyDescent="0.2">
      <c r="A115" s="35">
        <v>45681</v>
      </c>
      <c r="B115" t="s">
        <v>268</v>
      </c>
      <c r="C115" t="s">
        <v>311</v>
      </c>
      <c r="D115" t="s">
        <v>74</v>
      </c>
      <c r="E115" t="s">
        <v>308</v>
      </c>
      <c r="F115" s="36">
        <v>20</v>
      </c>
      <c r="G115" s="36">
        <v>1194</v>
      </c>
      <c r="H115" s="36">
        <f t="shared" si="0"/>
        <v>23880</v>
      </c>
      <c r="I115" s="36">
        <v>53114</v>
      </c>
      <c r="J115" s="36">
        <f t="shared" si="1"/>
        <v>-29234</v>
      </c>
    </row>
    <row r="116" spans="1:10" ht="15.75" customHeight="1" x14ac:dyDescent="0.2">
      <c r="A116" s="35">
        <v>45664</v>
      </c>
      <c r="B116" t="s">
        <v>271</v>
      </c>
      <c r="C116" t="s">
        <v>309</v>
      </c>
      <c r="D116" t="s">
        <v>85</v>
      </c>
      <c r="E116" t="s">
        <v>308</v>
      </c>
      <c r="F116" s="36">
        <v>18</v>
      </c>
      <c r="G116" s="36">
        <v>155</v>
      </c>
      <c r="H116" s="36">
        <f t="shared" si="0"/>
        <v>2790</v>
      </c>
      <c r="I116" s="36">
        <v>58309</v>
      </c>
      <c r="J116" s="36">
        <f t="shared" si="1"/>
        <v>-55519</v>
      </c>
    </row>
    <row r="117" spans="1:10" ht="15.75" customHeight="1" x14ac:dyDescent="0.2">
      <c r="A117" s="35">
        <v>45926</v>
      </c>
      <c r="B117" t="s">
        <v>271</v>
      </c>
      <c r="C117" t="s">
        <v>309</v>
      </c>
      <c r="D117" t="s">
        <v>304</v>
      </c>
      <c r="E117" t="s">
        <v>307</v>
      </c>
      <c r="F117" s="36">
        <v>102</v>
      </c>
      <c r="G117" s="36">
        <v>1092</v>
      </c>
      <c r="H117" s="36">
        <f t="shared" si="0"/>
        <v>111384</v>
      </c>
      <c r="I117" s="36">
        <v>36379</v>
      </c>
      <c r="J117" s="36">
        <f t="shared" si="1"/>
        <v>75005</v>
      </c>
    </row>
    <row r="118" spans="1:10" ht="15.75" customHeight="1" x14ac:dyDescent="0.2">
      <c r="A118" s="35">
        <v>45910</v>
      </c>
      <c r="B118" t="s">
        <v>268</v>
      </c>
      <c r="C118" t="s">
        <v>265</v>
      </c>
      <c r="D118" t="s">
        <v>85</v>
      </c>
      <c r="E118" t="s">
        <v>273</v>
      </c>
      <c r="F118" s="36">
        <v>56</v>
      </c>
      <c r="G118" s="36">
        <v>173</v>
      </c>
      <c r="H118" s="36">
        <f t="shared" si="0"/>
        <v>9688</v>
      </c>
      <c r="I118" s="36">
        <v>42067</v>
      </c>
      <c r="J118" s="36">
        <f t="shared" si="1"/>
        <v>-32379</v>
      </c>
    </row>
    <row r="119" spans="1:10" ht="15.75" customHeight="1" x14ac:dyDescent="0.2">
      <c r="A119" s="35">
        <v>45663</v>
      </c>
      <c r="B119" t="s">
        <v>268</v>
      </c>
      <c r="C119" t="s">
        <v>269</v>
      </c>
      <c r="D119" t="s">
        <v>306</v>
      </c>
      <c r="E119" t="s">
        <v>307</v>
      </c>
      <c r="F119" s="36">
        <v>14</v>
      </c>
      <c r="G119" s="36">
        <v>1383</v>
      </c>
      <c r="H119" s="36">
        <f t="shared" si="0"/>
        <v>19362</v>
      </c>
      <c r="I119" s="36">
        <v>23847</v>
      </c>
      <c r="J119" s="36">
        <f t="shared" si="1"/>
        <v>-4485</v>
      </c>
    </row>
    <row r="120" spans="1:10" ht="15.75" customHeight="1" x14ac:dyDescent="0.2">
      <c r="A120" s="35">
        <v>45873</v>
      </c>
      <c r="B120" t="s">
        <v>263</v>
      </c>
      <c r="C120" t="s">
        <v>280</v>
      </c>
      <c r="D120" t="s">
        <v>92</v>
      </c>
      <c r="E120" t="s">
        <v>312</v>
      </c>
      <c r="F120" s="36">
        <v>42</v>
      </c>
      <c r="G120" s="36">
        <v>385</v>
      </c>
      <c r="H120" s="36">
        <f t="shared" si="0"/>
        <v>16170</v>
      </c>
      <c r="I120" s="36">
        <v>89578</v>
      </c>
      <c r="J120" s="36">
        <f t="shared" si="1"/>
        <v>-73408</v>
      </c>
    </row>
    <row r="121" spans="1:10" ht="15.75" customHeight="1" x14ac:dyDescent="0.2">
      <c r="A121" s="35">
        <v>45762</v>
      </c>
      <c r="B121" t="s">
        <v>268</v>
      </c>
      <c r="C121" t="s">
        <v>311</v>
      </c>
      <c r="D121" t="s">
        <v>306</v>
      </c>
      <c r="E121" t="s">
        <v>77</v>
      </c>
      <c r="F121" s="36">
        <v>38</v>
      </c>
      <c r="G121" s="36">
        <v>868</v>
      </c>
      <c r="H121" s="36">
        <f t="shared" si="0"/>
        <v>32984</v>
      </c>
      <c r="I121" s="36">
        <v>54034</v>
      </c>
      <c r="J121" s="36">
        <f t="shared" si="1"/>
        <v>-21050</v>
      </c>
    </row>
    <row r="122" spans="1:10" ht="15.75" customHeight="1" x14ac:dyDescent="0.2">
      <c r="A122" s="35">
        <v>45879</v>
      </c>
      <c r="B122" t="s">
        <v>263</v>
      </c>
      <c r="C122" t="s">
        <v>280</v>
      </c>
      <c r="D122" t="s">
        <v>85</v>
      </c>
      <c r="E122" t="s">
        <v>305</v>
      </c>
      <c r="F122" s="36">
        <v>68</v>
      </c>
      <c r="G122" s="36">
        <v>257</v>
      </c>
      <c r="H122" s="36">
        <f t="shared" si="0"/>
        <v>17476</v>
      </c>
      <c r="I122" s="36">
        <v>108854</v>
      </c>
      <c r="J122" s="36">
        <f t="shared" si="1"/>
        <v>-91378</v>
      </c>
    </row>
    <row r="123" spans="1:10" ht="15.75" customHeight="1" x14ac:dyDescent="0.2">
      <c r="A123" s="35">
        <v>45855</v>
      </c>
      <c r="B123" t="s">
        <v>271</v>
      </c>
      <c r="C123" t="s">
        <v>270</v>
      </c>
      <c r="D123" t="s">
        <v>74</v>
      </c>
      <c r="E123" t="s">
        <v>310</v>
      </c>
      <c r="F123" s="36">
        <v>14</v>
      </c>
      <c r="G123" s="36">
        <v>189</v>
      </c>
      <c r="H123" s="36">
        <f t="shared" si="0"/>
        <v>2646</v>
      </c>
      <c r="I123" s="36">
        <v>62166</v>
      </c>
      <c r="J123" s="36">
        <f t="shared" si="1"/>
        <v>-59520</v>
      </c>
    </row>
    <row r="124" spans="1:10" ht="15.75" customHeight="1" x14ac:dyDescent="0.2">
      <c r="A124" s="35">
        <v>45891</v>
      </c>
      <c r="B124" t="s">
        <v>268</v>
      </c>
      <c r="C124" t="s">
        <v>269</v>
      </c>
      <c r="D124" t="s">
        <v>74</v>
      </c>
      <c r="E124" t="s">
        <v>310</v>
      </c>
      <c r="F124" s="36">
        <v>89</v>
      </c>
      <c r="G124" s="36">
        <v>715</v>
      </c>
      <c r="H124" s="36">
        <f t="shared" si="0"/>
        <v>63635</v>
      </c>
      <c r="I124" s="36">
        <v>71193</v>
      </c>
      <c r="J124" s="36">
        <f t="shared" si="1"/>
        <v>-7558</v>
      </c>
    </row>
    <row r="125" spans="1:10" ht="15.75" customHeight="1" x14ac:dyDescent="0.2">
      <c r="A125" s="35">
        <v>45879</v>
      </c>
      <c r="B125" t="s">
        <v>271</v>
      </c>
      <c r="C125" t="s">
        <v>272</v>
      </c>
      <c r="D125" t="s">
        <v>74</v>
      </c>
      <c r="E125" t="s">
        <v>77</v>
      </c>
      <c r="F125" s="36">
        <v>95</v>
      </c>
      <c r="G125" s="36">
        <v>382</v>
      </c>
      <c r="H125" s="36">
        <f t="shared" si="0"/>
        <v>36290</v>
      </c>
      <c r="I125" s="36">
        <v>61837</v>
      </c>
      <c r="J125" s="36">
        <f t="shared" si="1"/>
        <v>-25547</v>
      </c>
    </row>
    <row r="126" spans="1:10" ht="15.75" customHeight="1" x14ac:dyDescent="0.2">
      <c r="A126" s="35">
        <v>45767</v>
      </c>
      <c r="B126" t="s">
        <v>263</v>
      </c>
      <c r="C126" t="s">
        <v>280</v>
      </c>
      <c r="D126" t="s">
        <v>85</v>
      </c>
      <c r="E126" t="s">
        <v>308</v>
      </c>
      <c r="F126" s="36">
        <v>105</v>
      </c>
      <c r="G126" s="36">
        <v>681</v>
      </c>
      <c r="H126" s="36">
        <f t="shared" si="0"/>
        <v>71505</v>
      </c>
      <c r="I126" s="36">
        <v>50512</v>
      </c>
      <c r="J126" s="36">
        <f t="shared" si="1"/>
        <v>20993</v>
      </c>
    </row>
    <row r="127" spans="1:10" ht="15.75" customHeight="1" x14ac:dyDescent="0.2">
      <c r="A127" s="35">
        <v>45746</v>
      </c>
      <c r="B127" t="s">
        <v>263</v>
      </c>
      <c r="C127" t="s">
        <v>264</v>
      </c>
      <c r="D127" t="s">
        <v>306</v>
      </c>
      <c r="E127" t="s">
        <v>307</v>
      </c>
      <c r="F127" s="36">
        <v>16</v>
      </c>
      <c r="G127" s="36">
        <v>359</v>
      </c>
      <c r="H127" s="36">
        <f t="shared" si="0"/>
        <v>5744</v>
      </c>
      <c r="I127" s="36">
        <v>111581</v>
      </c>
      <c r="J127" s="36">
        <f t="shared" si="1"/>
        <v>-105837</v>
      </c>
    </row>
    <row r="128" spans="1:10" ht="15.75" customHeight="1" x14ac:dyDescent="0.2">
      <c r="A128" s="35">
        <v>45885</v>
      </c>
      <c r="B128" t="s">
        <v>268</v>
      </c>
      <c r="C128" t="s">
        <v>265</v>
      </c>
      <c r="D128" t="s">
        <v>74</v>
      </c>
      <c r="E128" t="s">
        <v>273</v>
      </c>
      <c r="F128" s="36">
        <v>59</v>
      </c>
      <c r="G128" s="36">
        <v>479</v>
      </c>
      <c r="H128" s="36">
        <f t="shared" si="0"/>
        <v>28261</v>
      </c>
      <c r="I128" s="36">
        <v>10604</v>
      </c>
      <c r="J128" s="36">
        <f t="shared" si="1"/>
        <v>17657</v>
      </c>
    </row>
    <row r="129" spans="1:10" ht="15.75" customHeight="1" x14ac:dyDescent="0.2">
      <c r="A129" s="35">
        <v>45756</v>
      </c>
      <c r="B129" t="s">
        <v>271</v>
      </c>
      <c r="C129" t="s">
        <v>272</v>
      </c>
      <c r="D129" t="s">
        <v>85</v>
      </c>
      <c r="E129" t="s">
        <v>310</v>
      </c>
      <c r="F129" s="36">
        <v>104</v>
      </c>
      <c r="G129" s="36">
        <v>1180</v>
      </c>
      <c r="H129" s="36">
        <f t="shared" si="0"/>
        <v>122720</v>
      </c>
      <c r="I129" s="36">
        <v>55016</v>
      </c>
      <c r="J129" s="36">
        <f t="shared" si="1"/>
        <v>67704</v>
      </c>
    </row>
    <row r="130" spans="1:10" ht="15.75" customHeight="1" x14ac:dyDescent="0.2">
      <c r="A130" s="35">
        <v>46010</v>
      </c>
      <c r="B130" t="s">
        <v>268</v>
      </c>
      <c r="C130" t="s">
        <v>269</v>
      </c>
      <c r="D130" t="s">
        <v>85</v>
      </c>
      <c r="E130" t="s">
        <v>307</v>
      </c>
      <c r="F130" s="36">
        <v>6</v>
      </c>
      <c r="G130" s="36">
        <v>1204</v>
      </c>
      <c r="H130" s="36">
        <f t="shared" si="0"/>
        <v>7224</v>
      </c>
      <c r="I130" s="36">
        <v>85614</v>
      </c>
      <c r="J130" s="36">
        <f t="shared" si="1"/>
        <v>-78390</v>
      </c>
    </row>
    <row r="131" spans="1:10" ht="15.75" customHeight="1" x14ac:dyDescent="0.2">
      <c r="A131" s="35">
        <v>45844</v>
      </c>
      <c r="B131" t="s">
        <v>268</v>
      </c>
      <c r="C131" t="s">
        <v>265</v>
      </c>
      <c r="D131" t="s">
        <v>304</v>
      </c>
      <c r="E131" t="s">
        <v>308</v>
      </c>
      <c r="F131" s="36">
        <v>85</v>
      </c>
      <c r="G131" s="36">
        <v>715</v>
      </c>
      <c r="H131" s="36">
        <f t="shared" si="0"/>
        <v>60775</v>
      </c>
      <c r="I131" s="36">
        <v>32910</v>
      </c>
      <c r="J131" s="36">
        <f t="shared" si="1"/>
        <v>27865</v>
      </c>
    </row>
    <row r="132" spans="1:10" ht="15.75" customHeight="1" x14ac:dyDescent="0.2">
      <c r="A132" s="35">
        <v>46000</v>
      </c>
      <c r="B132" t="s">
        <v>268</v>
      </c>
      <c r="C132" t="s">
        <v>265</v>
      </c>
      <c r="D132" t="s">
        <v>74</v>
      </c>
      <c r="E132" t="s">
        <v>84</v>
      </c>
      <c r="F132" s="36">
        <v>98</v>
      </c>
      <c r="G132" s="36">
        <v>239</v>
      </c>
      <c r="H132" s="36">
        <f t="shared" si="0"/>
        <v>23422</v>
      </c>
      <c r="I132" s="36">
        <v>87615</v>
      </c>
      <c r="J132" s="36">
        <f t="shared" si="1"/>
        <v>-64193</v>
      </c>
    </row>
    <row r="133" spans="1:10" ht="15.75" customHeight="1" x14ac:dyDescent="0.2">
      <c r="A133" s="35">
        <v>45949</v>
      </c>
      <c r="B133" t="s">
        <v>271</v>
      </c>
      <c r="C133" t="s">
        <v>272</v>
      </c>
      <c r="D133" t="s">
        <v>85</v>
      </c>
      <c r="E133" t="s">
        <v>77</v>
      </c>
      <c r="F133" s="36">
        <v>95</v>
      </c>
      <c r="G133" s="36">
        <v>1447</v>
      </c>
      <c r="H133" s="36">
        <f t="shared" si="0"/>
        <v>137465</v>
      </c>
      <c r="I133" s="36">
        <v>44057</v>
      </c>
      <c r="J133" s="36">
        <f t="shared" si="1"/>
        <v>93408</v>
      </c>
    </row>
    <row r="134" spans="1:10" ht="15.75" customHeight="1" x14ac:dyDescent="0.2">
      <c r="A134" s="35">
        <v>45686</v>
      </c>
      <c r="B134" t="s">
        <v>271</v>
      </c>
      <c r="C134" t="s">
        <v>309</v>
      </c>
      <c r="D134" t="s">
        <v>85</v>
      </c>
      <c r="E134" t="s">
        <v>84</v>
      </c>
      <c r="F134" s="36">
        <v>53</v>
      </c>
      <c r="G134" s="36">
        <v>954</v>
      </c>
      <c r="H134" s="36">
        <f t="shared" si="0"/>
        <v>50562</v>
      </c>
      <c r="I134" s="36">
        <v>102185</v>
      </c>
      <c r="J134" s="36">
        <f t="shared" si="1"/>
        <v>-51623</v>
      </c>
    </row>
    <row r="135" spans="1:10" ht="15.75" customHeight="1" x14ac:dyDescent="0.2">
      <c r="A135" s="35">
        <v>45716</v>
      </c>
      <c r="B135" t="s">
        <v>268</v>
      </c>
      <c r="C135" t="s">
        <v>265</v>
      </c>
      <c r="D135" t="s">
        <v>74</v>
      </c>
      <c r="E135" t="s">
        <v>273</v>
      </c>
      <c r="F135" s="36">
        <v>84</v>
      </c>
      <c r="G135" s="36">
        <v>1049</v>
      </c>
      <c r="H135" s="36">
        <f t="shared" si="0"/>
        <v>88116</v>
      </c>
      <c r="I135" s="36">
        <v>75201</v>
      </c>
      <c r="J135" s="36">
        <f t="shared" si="1"/>
        <v>12915</v>
      </c>
    </row>
    <row r="136" spans="1:10" ht="15.75" customHeight="1" x14ac:dyDescent="0.2">
      <c r="A136" s="35">
        <v>45929</v>
      </c>
      <c r="B136" t="s">
        <v>263</v>
      </c>
      <c r="C136" t="s">
        <v>264</v>
      </c>
      <c r="D136" t="s">
        <v>306</v>
      </c>
      <c r="E136" t="s">
        <v>310</v>
      </c>
      <c r="F136" s="36">
        <v>87</v>
      </c>
      <c r="G136" s="36">
        <v>1090</v>
      </c>
      <c r="H136" s="36">
        <f t="shared" si="0"/>
        <v>94830</v>
      </c>
      <c r="I136" s="36">
        <v>25973</v>
      </c>
      <c r="J136" s="36">
        <f t="shared" si="1"/>
        <v>68857</v>
      </c>
    </row>
    <row r="137" spans="1:10" ht="15.75" customHeight="1" x14ac:dyDescent="0.2">
      <c r="A137" s="35">
        <v>45892</v>
      </c>
      <c r="B137" t="s">
        <v>271</v>
      </c>
      <c r="C137" t="s">
        <v>270</v>
      </c>
      <c r="D137" t="s">
        <v>85</v>
      </c>
      <c r="E137" t="s">
        <v>307</v>
      </c>
      <c r="F137" s="36">
        <v>58</v>
      </c>
      <c r="G137" s="36">
        <v>1198</v>
      </c>
      <c r="H137" s="36">
        <f t="shared" si="0"/>
        <v>69484</v>
      </c>
      <c r="I137" s="36">
        <v>18179</v>
      </c>
      <c r="J137" s="36">
        <f t="shared" si="1"/>
        <v>51305</v>
      </c>
    </row>
    <row r="138" spans="1:10" ht="15.75" customHeight="1" x14ac:dyDescent="0.2">
      <c r="A138" s="35">
        <v>45900</v>
      </c>
      <c r="B138" t="s">
        <v>263</v>
      </c>
      <c r="C138" t="s">
        <v>280</v>
      </c>
      <c r="D138" t="s">
        <v>74</v>
      </c>
      <c r="E138" t="s">
        <v>310</v>
      </c>
      <c r="F138" s="36">
        <v>15</v>
      </c>
      <c r="G138" s="36">
        <v>1281</v>
      </c>
      <c r="H138" s="36">
        <f t="shared" si="0"/>
        <v>19215</v>
      </c>
      <c r="I138" s="36">
        <v>97763</v>
      </c>
      <c r="J138" s="36">
        <f t="shared" si="1"/>
        <v>-78548</v>
      </c>
    </row>
    <row r="139" spans="1:10" ht="15.75" customHeight="1" x14ac:dyDescent="0.2">
      <c r="A139" s="35">
        <v>45850</v>
      </c>
      <c r="B139" t="s">
        <v>271</v>
      </c>
      <c r="C139" t="s">
        <v>270</v>
      </c>
      <c r="D139" t="s">
        <v>304</v>
      </c>
      <c r="E139" t="s">
        <v>77</v>
      </c>
      <c r="F139" s="36">
        <v>59</v>
      </c>
      <c r="G139" s="36">
        <v>931</v>
      </c>
      <c r="H139" s="36">
        <f t="shared" si="0"/>
        <v>54929</v>
      </c>
      <c r="I139" s="36">
        <v>84409</v>
      </c>
      <c r="J139" s="36">
        <f t="shared" si="1"/>
        <v>-29480</v>
      </c>
    </row>
    <row r="140" spans="1:10" ht="15.75" customHeight="1" x14ac:dyDescent="0.2">
      <c r="A140" s="35">
        <v>45972</v>
      </c>
      <c r="B140" t="s">
        <v>268</v>
      </c>
      <c r="C140" t="s">
        <v>269</v>
      </c>
      <c r="D140" t="s">
        <v>74</v>
      </c>
      <c r="E140" t="s">
        <v>312</v>
      </c>
      <c r="F140" s="36">
        <v>81</v>
      </c>
      <c r="G140" s="36">
        <v>508</v>
      </c>
      <c r="H140" s="36">
        <f t="shared" si="0"/>
        <v>41148</v>
      </c>
      <c r="I140" s="36">
        <v>74687</v>
      </c>
      <c r="J140" s="36">
        <f t="shared" si="1"/>
        <v>-33539</v>
      </c>
    </row>
    <row r="141" spans="1:10" ht="15.75" customHeight="1" x14ac:dyDescent="0.2">
      <c r="A141" s="35">
        <v>45888</v>
      </c>
      <c r="B141" t="s">
        <v>268</v>
      </c>
      <c r="C141" t="s">
        <v>311</v>
      </c>
      <c r="D141" t="s">
        <v>74</v>
      </c>
      <c r="E141" t="s">
        <v>312</v>
      </c>
      <c r="F141" s="36">
        <v>75</v>
      </c>
      <c r="G141" s="36">
        <v>1458</v>
      </c>
      <c r="H141" s="36">
        <f t="shared" si="0"/>
        <v>109350</v>
      </c>
      <c r="I141" s="36">
        <v>25466</v>
      </c>
      <c r="J141" s="36">
        <f t="shared" si="1"/>
        <v>83884</v>
      </c>
    </row>
    <row r="142" spans="1:10" ht="15.75" customHeight="1" x14ac:dyDescent="0.2">
      <c r="A142" s="35">
        <v>46005</v>
      </c>
      <c r="B142" t="s">
        <v>263</v>
      </c>
      <c r="C142" t="s">
        <v>280</v>
      </c>
      <c r="D142" t="s">
        <v>304</v>
      </c>
      <c r="E142" t="s">
        <v>273</v>
      </c>
      <c r="F142" s="36">
        <v>76</v>
      </c>
      <c r="G142" s="36">
        <v>144</v>
      </c>
      <c r="H142" s="36">
        <f t="shared" si="0"/>
        <v>10944</v>
      </c>
      <c r="I142" s="36">
        <v>104857</v>
      </c>
      <c r="J142" s="36">
        <f t="shared" si="1"/>
        <v>-93913</v>
      </c>
    </row>
    <row r="143" spans="1:10" ht="15.75" customHeight="1" x14ac:dyDescent="0.2">
      <c r="A143" s="35">
        <v>45912</v>
      </c>
      <c r="B143" t="s">
        <v>263</v>
      </c>
      <c r="C143" t="s">
        <v>264</v>
      </c>
      <c r="D143" t="s">
        <v>92</v>
      </c>
      <c r="E143" t="s">
        <v>310</v>
      </c>
      <c r="F143" s="36">
        <v>42</v>
      </c>
      <c r="G143" s="36">
        <v>337</v>
      </c>
      <c r="H143" s="36">
        <f t="shared" si="0"/>
        <v>14154</v>
      </c>
      <c r="I143" s="36">
        <v>77966</v>
      </c>
      <c r="J143" s="36">
        <f t="shared" si="1"/>
        <v>-63812</v>
      </c>
    </row>
    <row r="144" spans="1:10" ht="15.75" customHeight="1" x14ac:dyDescent="0.2">
      <c r="A144" s="35">
        <v>45978</v>
      </c>
      <c r="B144" t="s">
        <v>271</v>
      </c>
      <c r="C144" t="s">
        <v>309</v>
      </c>
      <c r="D144" t="s">
        <v>92</v>
      </c>
      <c r="E144" t="s">
        <v>310</v>
      </c>
      <c r="F144" s="36">
        <v>68</v>
      </c>
      <c r="G144" s="36">
        <v>1310</v>
      </c>
      <c r="H144" s="36">
        <f t="shared" si="0"/>
        <v>89080</v>
      </c>
      <c r="I144" s="36">
        <v>94591</v>
      </c>
      <c r="J144" s="36">
        <f t="shared" si="1"/>
        <v>-5511</v>
      </c>
    </row>
    <row r="145" spans="1:10" ht="15.75" customHeight="1" x14ac:dyDescent="0.2">
      <c r="A145" s="35">
        <v>46020</v>
      </c>
      <c r="B145" t="s">
        <v>268</v>
      </c>
      <c r="C145" t="s">
        <v>311</v>
      </c>
      <c r="D145" t="s">
        <v>74</v>
      </c>
      <c r="E145" t="s">
        <v>312</v>
      </c>
      <c r="F145" s="36">
        <v>32</v>
      </c>
      <c r="G145" s="36">
        <v>1354</v>
      </c>
      <c r="H145" s="36">
        <f t="shared" si="0"/>
        <v>43328</v>
      </c>
      <c r="I145" s="36">
        <v>84789</v>
      </c>
      <c r="J145" s="36">
        <f t="shared" si="1"/>
        <v>-41461</v>
      </c>
    </row>
    <row r="146" spans="1:10" ht="15.75" customHeight="1" x14ac:dyDescent="0.2">
      <c r="A146" s="35">
        <v>45994</v>
      </c>
      <c r="B146" t="s">
        <v>263</v>
      </c>
      <c r="C146" t="s">
        <v>264</v>
      </c>
      <c r="D146" t="s">
        <v>304</v>
      </c>
      <c r="E146" t="s">
        <v>84</v>
      </c>
      <c r="F146" s="36">
        <v>103</v>
      </c>
      <c r="G146" s="36">
        <v>372</v>
      </c>
      <c r="H146" s="36">
        <f t="shared" si="0"/>
        <v>38316</v>
      </c>
      <c r="I146" s="36">
        <v>39347</v>
      </c>
      <c r="J146" s="36">
        <f t="shared" si="1"/>
        <v>-1031</v>
      </c>
    </row>
    <row r="147" spans="1:10" ht="15.75" customHeight="1" x14ac:dyDescent="0.2">
      <c r="A147" s="35">
        <v>45853</v>
      </c>
      <c r="B147" t="s">
        <v>263</v>
      </c>
      <c r="C147" t="s">
        <v>280</v>
      </c>
      <c r="D147" t="s">
        <v>85</v>
      </c>
      <c r="E147" t="s">
        <v>273</v>
      </c>
      <c r="F147" s="36">
        <v>49</v>
      </c>
      <c r="G147" s="36">
        <v>1144</v>
      </c>
      <c r="H147" s="36">
        <f t="shared" si="0"/>
        <v>56056</v>
      </c>
      <c r="I147" s="36">
        <v>95928</v>
      </c>
      <c r="J147" s="36">
        <f t="shared" si="1"/>
        <v>-39872</v>
      </c>
    </row>
    <row r="148" spans="1:10" ht="15.75" customHeight="1" x14ac:dyDescent="0.2">
      <c r="A148" s="35">
        <v>45732</v>
      </c>
      <c r="B148" t="s">
        <v>271</v>
      </c>
      <c r="C148" t="s">
        <v>272</v>
      </c>
      <c r="D148" t="s">
        <v>306</v>
      </c>
      <c r="E148" t="s">
        <v>308</v>
      </c>
      <c r="F148" s="36">
        <v>60</v>
      </c>
      <c r="G148" s="36">
        <v>915</v>
      </c>
      <c r="H148" s="36">
        <f t="shared" si="0"/>
        <v>54900</v>
      </c>
      <c r="I148" s="36">
        <v>71516</v>
      </c>
      <c r="J148" s="36">
        <f t="shared" si="1"/>
        <v>-16616</v>
      </c>
    </row>
    <row r="149" spans="1:10" ht="15.75" customHeight="1" x14ac:dyDescent="0.2">
      <c r="A149" s="35">
        <v>45689</v>
      </c>
      <c r="B149" t="s">
        <v>268</v>
      </c>
      <c r="C149" t="s">
        <v>269</v>
      </c>
      <c r="D149" t="s">
        <v>304</v>
      </c>
      <c r="E149" t="s">
        <v>307</v>
      </c>
      <c r="F149" s="36">
        <v>101</v>
      </c>
      <c r="G149" s="36">
        <v>348</v>
      </c>
      <c r="H149" s="36">
        <f t="shared" si="0"/>
        <v>35148</v>
      </c>
      <c r="I149" s="36">
        <v>20435</v>
      </c>
      <c r="J149" s="36">
        <f t="shared" si="1"/>
        <v>14713</v>
      </c>
    </row>
    <row r="150" spans="1:10" ht="15.75" customHeight="1" x14ac:dyDescent="0.2">
      <c r="A150" s="35">
        <v>45853</v>
      </c>
      <c r="B150" t="s">
        <v>268</v>
      </c>
      <c r="C150" t="s">
        <v>269</v>
      </c>
      <c r="D150" t="s">
        <v>74</v>
      </c>
      <c r="E150" t="s">
        <v>308</v>
      </c>
      <c r="F150" s="36">
        <v>25</v>
      </c>
      <c r="G150" s="36">
        <v>1137</v>
      </c>
      <c r="H150" s="36">
        <f t="shared" si="0"/>
        <v>28425</v>
      </c>
      <c r="I150" s="36">
        <v>68028</v>
      </c>
      <c r="J150" s="36">
        <f t="shared" si="1"/>
        <v>-39603</v>
      </c>
    </row>
    <row r="151" spans="1:10" ht="15.75" customHeight="1" x14ac:dyDescent="0.2">
      <c r="A151" s="35">
        <v>45798</v>
      </c>
      <c r="B151" t="s">
        <v>268</v>
      </c>
      <c r="C151" t="s">
        <v>311</v>
      </c>
      <c r="D151" t="s">
        <v>304</v>
      </c>
      <c r="E151" t="s">
        <v>312</v>
      </c>
      <c r="F151" s="36">
        <v>15</v>
      </c>
      <c r="G151" s="36">
        <v>271</v>
      </c>
      <c r="H151" s="36">
        <f t="shared" si="0"/>
        <v>4065</v>
      </c>
      <c r="I151" s="36">
        <v>92445</v>
      </c>
      <c r="J151" s="36">
        <f t="shared" si="1"/>
        <v>-88380</v>
      </c>
    </row>
    <row r="152" spans="1:10" ht="15.75" customHeight="1" x14ac:dyDescent="0.2">
      <c r="A152" s="35">
        <v>45864</v>
      </c>
      <c r="B152" t="s">
        <v>268</v>
      </c>
      <c r="C152" t="s">
        <v>269</v>
      </c>
      <c r="D152" t="s">
        <v>85</v>
      </c>
      <c r="E152" t="s">
        <v>84</v>
      </c>
      <c r="F152" s="36">
        <v>16</v>
      </c>
      <c r="G152" s="36">
        <v>808</v>
      </c>
      <c r="H152" s="36">
        <f t="shared" si="0"/>
        <v>12928</v>
      </c>
      <c r="I152" s="36">
        <v>107277</v>
      </c>
      <c r="J152" s="36">
        <f t="shared" si="1"/>
        <v>-94349</v>
      </c>
    </row>
    <row r="153" spans="1:10" ht="15.75" customHeight="1" x14ac:dyDescent="0.2">
      <c r="A153" s="35">
        <v>45790</v>
      </c>
      <c r="B153" t="s">
        <v>268</v>
      </c>
      <c r="C153" t="s">
        <v>265</v>
      </c>
      <c r="D153" t="s">
        <v>74</v>
      </c>
      <c r="E153" t="s">
        <v>84</v>
      </c>
      <c r="F153" s="36">
        <v>36</v>
      </c>
      <c r="G153" s="36">
        <v>958</v>
      </c>
      <c r="H153" s="36">
        <f t="shared" si="0"/>
        <v>34488</v>
      </c>
      <c r="I153" s="36">
        <v>7408</v>
      </c>
      <c r="J153" s="36">
        <f t="shared" si="1"/>
        <v>27080</v>
      </c>
    </row>
    <row r="154" spans="1:10" ht="15.75" customHeight="1" x14ac:dyDescent="0.2">
      <c r="A154" s="35">
        <v>45742</v>
      </c>
      <c r="B154" t="s">
        <v>271</v>
      </c>
      <c r="C154" t="s">
        <v>309</v>
      </c>
      <c r="D154" t="s">
        <v>85</v>
      </c>
      <c r="E154" t="s">
        <v>310</v>
      </c>
      <c r="F154" s="36">
        <v>55</v>
      </c>
      <c r="G154" s="36">
        <v>736</v>
      </c>
      <c r="H154" s="36">
        <f t="shared" si="0"/>
        <v>40480</v>
      </c>
      <c r="I154" s="36">
        <v>16188</v>
      </c>
      <c r="J154" s="36">
        <f t="shared" si="1"/>
        <v>24292</v>
      </c>
    </row>
    <row r="155" spans="1:10" ht="15.75" customHeight="1" x14ac:dyDescent="0.2">
      <c r="A155" s="35">
        <v>45967</v>
      </c>
      <c r="B155" t="s">
        <v>268</v>
      </c>
      <c r="C155" t="s">
        <v>269</v>
      </c>
      <c r="D155" t="s">
        <v>306</v>
      </c>
      <c r="E155" t="s">
        <v>305</v>
      </c>
      <c r="F155" s="36">
        <v>51</v>
      </c>
      <c r="G155" s="36">
        <v>1052</v>
      </c>
      <c r="H155" s="36">
        <f t="shared" si="0"/>
        <v>53652</v>
      </c>
      <c r="I155" s="36">
        <v>73731</v>
      </c>
      <c r="J155" s="36">
        <f t="shared" si="1"/>
        <v>-20079</v>
      </c>
    </row>
    <row r="156" spans="1:10" ht="15.75" customHeight="1" x14ac:dyDescent="0.2">
      <c r="A156" s="35">
        <v>45870</v>
      </c>
      <c r="B156" t="s">
        <v>263</v>
      </c>
      <c r="C156" t="s">
        <v>264</v>
      </c>
      <c r="D156" t="s">
        <v>92</v>
      </c>
      <c r="E156" t="s">
        <v>77</v>
      </c>
      <c r="F156" s="36">
        <v>35</v>
      </c>
      <c r="G156" s="36">
        <v>126</v>
      </c>
      <c r="H156" s="36">
        <f t="shared" si="0"/>
        <v>4410</v>
      </c>
      <c r="I156" s="36">
        <v>110095</v>
      </c>
      <c r="J156" s="36">
        <f t="shared" si="1"/>
        <v>-105685</v>
      </c>
    </row>
    <row r="157" spans="1:10" ht="15.75" customHeight="1" x14ac:dyDescent="0.2">
      <c r="A157" s="35">
        <v>45783</v>
      </c>
      <c r="B157" t="s">
        <v>271</v>
      </c>
      <c r="C157" t="s">
        <v>270</v>
      </c>
      <c r="D157" t="s">
        <v>85</v>
      </c>
      <c r="E157" t="s">
        <v>312</v>
      </c>
      <c r="F157" s="36">
        <v>24</v>
      </c>
      <c r="G157" s="36">
        <v>812</v>
      </c>
      <c r="H157" s="36">
        <f t="shared" si="0"/>
        <v>19488</v>
      </c>
      <c r="I157" s="36">
        <v>117362</v>
      </c>
      <c r="J157" s="36">
        <f t="shared" si="1"/>
        <v>-97874</v>
      </c>
    </row>
    <row r="158" spans="1:10" ht="15.75" customHeight="1" x14ac:dyDescent="0.2">
      <c r="A158" s="35">
        <v>45847</v>
      </c>
      <c r="B158" t="s">
        <v>271</v>
      </c>
      <c r="C158" t="s">
        <v>272</v>
      </c>
      <c r="D158" t="s">
        <v>85</v>
      </c>
      <c r="E158" t="s">
        <v>77</v>
      </c>
      <c r="F158" s="36">
        <v>85</v>
      </c>
      <c r="G158" s="36">
        <v>739</v>
      </c>
      <c r="H158" s="36">
        <f t="shared" si="0"/>
        <v>62815</v>
      </c>
      <c r="I158" s="36">
        <v>79590</v>
      </c>
      <c r="J158" s="36">
        <f t="shared" si="1"/>
        <v>-16775</v>
      </c>
    </row>
    <row r="159" spans="1:10" ht="15.75" customHeight="1" x14ac:dyDescent="0.2">
      <c r="A159" s="35">
        <v>45919</v>
      </c>
      <c r="B159" t="s">
        <v>263</v>
      </c>
      <c r="C159" t="s">
        <v>264</v>
      </c>
      <c r="D159" t="s">
        <v>74</v>
      </c>
      <c r="E159" t="s">
        <v>273</v>
      </c>
      <c r="F159" s="36">
        <v>29</v>
      </c>
      <c r="G159" s="36">
        <v>509</v>
      </c>
      <c r="H159" s="36">
        <f t="shared" si="0"/>
        <v>14761</v>
      </c>
      <c r="I159" s="36">
        <v>45215</v>
      </c>
      <c r="J159" s="36">
        <f t="shared" si="1"/>
        <v>-30454</v>
      </c>
    </row>
    <row r="160" spans="1:10" ht="15.75" customHeight="1" x14ac:dyDescent="0.2">
      <c r="A160" s="35">
        <v>45989</v>
      </c>
      <c r="B160" t="s">
        <v>268</v>
      </c>
      <c r="C160" t="s">
        <v>311</v>
      </c>
      <c r="D160" t="s">
        <v>92</v>
      </c>
      <c r="E160" t="s">
        <v>77</v>
      </c>
      <c r="F160" s="36">
        <v>5</v>
      </c>
      <c r="G160" s="36">
        <v>655</v>
      </c>
      <c r="H160" s="36">
        <f t="shared" si="0"/>
        <v>3275</v>
      </c>
      <c r="I160" s="36">
        <v>45368</v>
      </c>
      <c r="J160" s="36">
        <f t="shared" si="1"/>
        <v>-42093</v>
      </c>
    </row>
    <row r="161" spans="1:10" ht="15.75" customHeight="1" x14ac:dyDescent="0.2">
      <c r="A161" s="35">
        <v>45750</v>
      </c>
      <c r="B161" t="s">
        <v>263</v>
      </c>
      <c r="C161" t="s">
        <v>264</v>
      </c>
      <c r="D161" t="s">
        <v>74</v>
      </c>
      <c r="E161" t="s">
        <v>305</v>
      </c>
      <c r="F161" s="36">
        <v>54</v>
      </c>
      <c r="G161" s="36">
        <v>939</v>
      </c>
      <c r="H161" s="36">
        <f t="shared" si="0"/>
        <v>50706</v>
      </c>
      <c r="I161" s="36">
        <v>79508</v>
      </c>
      <c r="J161" s="36">
        <f t="shared" si="1"/>
        <v>-28802</v>
      </c>
    </row>
    <row r="162" spans="1:10" ht="15.75" customHeight="1" x14ac:dyDescent="0.2">
      <c r="A162" s="35">
        <v>45693</v>
      </c>
      <c r="B162" t="s">
        <v>271</v>
      </c>
      <c r="C162" t="s">
        <v>309</v>
      </c>
      <c r="D162" t="s">
        <v>306</v>
      </c>
      <c r="E162" t="s">
        <v>77</v>
      </c>
      <c r="F162" s="36">
        <v>12</v>
      </c>
      <c r="G162" s="36">
        <v>1181</v>
      </c>
      <c r="H162" s="36">
        <f t="shared" si="0"/>
        <v>14172</v>
      </c>
      <c r="I162" s="36">
        <v>67867</v>
      </c>
      <c r="J162" s="36">
        <f t="shared" si="1"/>
        <v>-53695</v>
      </c>
    </row>
    <row r="163" spans="1:10" ht="15.75" customHeight="1" x14ac:dyDescent="0.2">
      <c r="A163" s="35">
        <v>45878</v>
      </c>
      <c r="B163" t="s">
        <v>268</v>
      </c>
      <c r="C163" t="s">
        <v>269</v>
      </c>
      <c r="D163" t="s">
        <v>85</v>
      </c>
      <c r="E163" t="s">
        <v>77</v>
      </c>
      <c r="F163" s="36">
        <v>61</v>
      </c>
      <c r="G163" s="36">
        <v>1175</v>
      </c>
      <c r="H163" s="36">
        <f t="shared" si="0"/>
        <v>71675</v>
      </c>
      <c r="I163" s="36">
        <v>104931</v>
      </c>
      <c r="J163" s="36">
        <f t="shared" si="1"/>
        <v>-33256</v>
      </c>
    </row>
    <row r="164" spans="1:10" ht="15.75" customHeight="1" x14ac:dyDescent="0.2">
      <c r="A164" s="35">
        <v>45820</v>
      </c>
      <c r="B164" t="s">
        <v>268</v>
      </c>
      <c r="C164" t="s">
        <v>311</v>
      </c>
      <c r="D164" t="s">
        <v>92</v>
      </c>
      <c r="E164" t="s">
        <v>77</v>
      </c>
      <c r="F164" s="36">
        <v>79</v>
      </c>
      <c r="G164" s="36">
        <v>737</v>
      </c>
      <c r="H164" s="36">
        <f t="shared" si="0"/>
        <v>58223</v>
      </c>
      <c r="I164" s="36">
        <v>84299</v>
      </c>
      <c r="J164" s="36">
        <f t="shared" si="1"/>
        <v>-26076</v>
      </c>
    </row>
    <row r="165" spans="1:10" ht="15.75" customHeight="1" x14ac:dyDescent="0.2">
      <c r="A165" s="35">
        <v>45882</v>
      </c>
      <c r="B165" t="s">
        <v>268</v>
      </c>
      <c r="C165" t="s">
        <v>265</v>
      </c>
      <c r="D165" t="s">
        <v>85</v>
      </c>
      <c r="E165" t="s">
        <v>310</v>
      </c>
      <c r="F165" s="36">
        <v>35</v>
      </c>
      <c r="G165" s="36">
        <v>876</v>
      </c>
      <c r="H165" s="36">
        <f t="shared" si="0"/>
        <v>30660</v>
      </c>
      <c r="I165" s="36">
        <v>82238</v>
      </c>
      <c r="J165" s="36">
        <f t="shared" si="1"/>
        <v>-51578</v>
      </c>
    </row>
    <row r="166" spans="1:10" ht="15.75" customHeight="1" x14ac:dyDescent="0.2">
      <c r="A166" s="35">
        <v>45939</v>
      </c>
      <c r="B166" t="s">
        <v>268</v>
      </c>
      <c r="C166" t="s">
        <v>311</v>
      </c>
      <c r="D166" t="s">
        <v>306</v>
      </c>
      <c r="E166" t="s">
        <v>312</v>
      </c>
      <c r="F166" s="36">
        <v>90</v>
      </c>
      <c r="G166" s="36">
        <v>317</v>
      </c>
      <c r="H166" s="36">
        <f t="shared" si="0"/>
        <v>28530</v>
      </c>
      <c r="I166" s="36">
        <v>9146</v>
      </c>
      <c r="J166" s="36">
        <f t="shared" si="1"/>
        <v>19384</v>
      </c>
    </row>
    <row r="167" spans="1:10" ht="15.75" customHeight="1" x14ac:dyDescent="0.2">
      <c r="A167" s="35">
        <v>45703</v>
      </c>
      <c r="B167" t="s">
        <v>263</v>
      </c>
      <c r="C167" t="s">
        <v>280</v>
      </c>
      <c r="D167" t="s">
        <v>304</v>
      </c>
      <c r="E167" t="s">
        <v>312</v>
      </c>
      <c r="F167" s="36">
        <v>11</v>
      </c>
      <c r="G167" s="36">
        <v>916</v>
      </c>
      <c r="H167" s="36">
        <f t="shared" si="0"/>
        <v>10076</v>
      </c>
      <c r="I167" s="36">
        <v>88301</v>
      </c>
      <c r="J167" s="36">
        <f t="shared" si="1"/>
        <v>-78225</v>
      </c>
    </row>
    <row r="168" spans="1:10" ht="15.75" customHeight="1" x14ac:dyDescent="0.2">
      <c r="A168" s="35">
        <v>45787</v>
      </c>
      <c r="B168" t="s">
        <v>271</v>
      </c>
      <c r="C168" t="s">
        <v>309</v>
      </c>
      <c r="D168" t="s">
        <v>304</v>
      </c>
      <c r="E168" t="s">
        <v>308</v>
      </c>
      <c r="F168" s="36">
        <v>99</v>
      </c>
      <c r="G168" s="36">
        <v>666</v>
      </c>
      <c r="H168" s="36">
        <f t="shared" si="0"/>
        <v>65934</v>
      </c>
      <c r="I168" s="36">
        <v>20219</v>
      </c>
      <c r="J168" s="36">
        <f t="shared" si="1"/>
        <v>45715</v>
      </c>
    </row>
    <row r="169" spans="1:10" ht="15.75" customHeight="1" x14ac:dyDescent="0.2">
      <c r="A169" s="35">
        <v>45775</v>
      </c>
      <c r="B169" t="s">
        <v>268</v>
      </c>
      <c r="C169" t="s">
        <v>311</v>
      </c>
      <c r="D169" t="s">
        <v>92</v>
      </c>
      <c r="E169" t="s">
        <v>84</v>
      </c>
      <c r="F169" s="36">
        <v>18</v>
      </c>
      <c r="G169" s="36">
        <v>817</v>
      </c>
      <c r="H169" s="36">
        <f t="shared" si="0"/>
        <v>14706</v>
      </c>
      <c r="I169" s="36">
        <v>36145</v>
      </c>
      <c r="J169" s="36">
        <f t="shared" si="1"/>
        <v>-21439</v>
      </c>
    </row>
    <row r="170" spans="1:10" ht="15.75" customHeight="1" x14ac:dyDescent="0.2">
      <c r="A170" s="35">
        <v>45797</v>
      </c>
      <c r="B170" t="s">
        <v>271</v>
      </c>
      <c r="C170" t="s">
        <v>270</v>
      </c>
      <c r="D170" t="s">
        <v>92</v>
      </c>
      <c r="E170" t="s">
        <v>310</v>
      </c>
      <c r="F170" s="36">
        <v>22</v>
      </c>
      <c r="G170" s="36">
        <v>531</v>
      </c>
      <c r="H170" s="36">
        <f t="shared" si="0"/>
        <v>11682</v>
      </c>
      <c r="I170" s="36">
        <v>92877</v>
      </c>
      <c r="J170" s="36">
        <f t="shared" si="1"/>
        <v>-81195</v>
      </c>
    </row>
    <row r="171" spans="1:10" ht="15.75" customHeight="1" x14ac:dyDescent="0.2">
      <c r="A171" s="35">
        <v>45972</v>
      </c>
      <c r="B171" t="s">
        <v>271</v>
      </c>
      <c r="C171" t="s">
        <v>270</v>
      </c>
      <c r="D171" t="s">
        <v>306</v>
      </c>
      <c r="E171" t="s">
        <v>305</v>
      </c>
      <c r="F171" s="36">
        <v>95</v>
      </c>
      <c r="G171" s="36">
        <v>472</v>
      </c>
      <c r="H171" s="36">
        <f t="shared" si="0"/>
        <v>44840</v>
      </c>
      <c r="I171" s="36">
        <v>20087</v>
      </c>
      <c r="J171" s="36">
        <f t="shared" si="1"/>
        <v>24753</v>
      </c>
    </row>
    <row r="172" spans="1:10" ht="15.75" customHeight="1" x14ac:dyDescent="0.2">
      <c r="A172" s="35">
        <v>45745</v>
      </c>
      <c r="B172" t="s">
        <v>271</v>
      </c>
      <c r="C172" t="s">
        <v>272</v>
      </c>
      <c r="D172" t="s">
        <v>304</v>
      </c>
      <c r="E172" t="s">
        <v>307</v>
      </c>
      <c r="F172" s="36">
        <v>19</v>
      </c>
      <c r="G172" s="36">
        <v>505</v>
      </c>
      <c r="H172" s="36">
        <f t="shared" si="0"/>
        <v>9595</v>
      </c>
      <c r="I172" s="36">
        <v>38351</v>
      </c>
      <c r="J172" s="36">
        <f t="shared" si="1"/>
        <v>-28756</v>
      </c>
    </row>
    <row r="173" spans="1:10" ht="15.75" customHeight="1" x14ac:dyDescent="0.2">
      <c r="A173" s="35">
        <v>45757</v>
      </c>
      <c r="B173" t="s">
        <v>271</v>
      </c>
      <c r="C173" t="s">
        <v>272</v>
      </c>
      <c r="D173" t="s">
        <v>74</v>
      </c>
      <c r="E173" t="s">
        <v>77</v>
      </c>
      <c r="F173" s="36">
        <v>23</v>
      </c>
      <c r="G173" s="36">
        <v>1255</v>
      </c>
      <c r="H173" s="36">
        <f t="shared" si="0"/>
        <v>28865</v>
      </c>
      <c r="I173" s="36">
        <v>101685</v>
      </c>
      <c r="J173" s="36">
        <f t="shared" si="1"/>
        <v>-72820</v>
      </c>
    </row>
    <row r="174" spans="1:10" ht="15.75" customHeight="1" x14ac:dyDescent="0.2">
      <c r="A174" s="35">
        <v>45737</v>
      </c>
      <c r="B174" t="s">
        <v>271</v>
      </c>
      <c r="C174" t="s">
        <v>272</v>
      </c>
      <c r="D174" t="s">
        <v>306</v>
      </c>
      <c r="E174" t="s">
        <v>312</v>
      </c>
      <c r="F174" s="36">
        <v>29</v>
      </c>
      <c r="G174" s="36">
        <v>1496</v>
      </c>
      <c r="H174" s="36">
        <f t="shared" si="0"/>
        <v>43384</v>
      </c>
      <c r="I174" s="36">
        <v>56088</v>
      </c>
      <c r="J174" s="36">
        <f t="shared" si="1"/>
        <v>-12704</v>
      </c>
    </row>
    <row r="175" spans="1:10" ht="15.75" customHeight="1" x14ac:dyDescent="0.2">
      <c r="A175" s="35">
        <v>45835</v>
      </c>
      <c r="B175" t="s">
        <v>271</v>
      </c>
      <c r="C175" t="s">
        <v>309</v>
      </c>
      <c r="D175" t="s">
        <v>85</v>
      </c>
      <c r="E175" t="s">
        <v>84</v>
      </c>
      <c r="F175" s="36">
        <v>103</v>
      </c>
      <c r="G175" s="36">
        <v>1369</v>
      </c>
      <c r="H175" s="36">
        <f t="shared" si="0"/>
        <v>141007</v>
      </c>
      <c r="I175" s="36">
        <v>13266</v>
      </c>
      <c r="J175" s="36">
        <f t="shared" si="1"/>
        <v>127741</v>
      </c>
    </row>
    <row r="176" spans="1:10" ht="15.75" customHeight="1" x14ac:dyDescent="0.2">
      <c r="A176" s="35">
        <v>45693</v>
      </c>
      <c r="B176" t="s">
        <v>263</v>
      </c>
      <c r="C176" t="s">
        <v>264</v>
      </c>
      <c r="D176" t="s">
        <v>85</v>
      </c>
      <c r="E176" t="s">
        <v>307</v>
      </c>
      <c r="F176" s="36">
        <v>117</v>
      </c>
      <c r="G176" s="36">
        <v>1270</v>
      </c>
      <c r="H176" s="36">
        <f t="shared" si="0"/>
        <v>148590</v>
      </c>
      <c r="I176" s="36">
        <v>57729</v>
      </c>
      <c r="J176" s="36">
        <f t="shared" si="1"/>
        <v>90861</v>
      </c>
    </row>
    <row r="177" spans="1:10" ht="15.75" customHeight="1" x14ac:dyDescent="0.2">
      <c r="A177" s="35">
        <v>45813</v>
      </c>
      <c r="B177" t="s">
        <v>263</v>
      </c>
      <c r="C177" t="s">
        <v>276</v>
      </c>
      <c r="D177" t="s">
        <v>306</v>
      </c>
      <c r="E177" t="s">
        <v>310</v>
      </c>
      <c r="F177" s="36">
        <v>110</v>
      </c>
      <c r="G177" s="36">
        <v>532</v>
      </c>
      <c r="H177" s="36">
        <f t="shared" si="0"/>
        <v>58520</v>
      </c>
      <c r="I177" s="36">
        <v>19532</v>
      </c>
      <c r="J177" s="36">
        <f t="shared" si="1"/>
        <v>38988</v>
      </c>
    </row>
    <row r="178" spans="1:10" ht="15.75" customHeight="1" x14ac:dyDescent="0.2">
      <c r="A178" s="35">
        <v>45996</v>
      </c>
      <c r="B178" t="s">
        <v>263</v>
      </c>
      <c r="C178" t="s">
        <v>280</v>
      </c>
      <c r="D178" t="s">
        <v>92</v>
      </c>
      <c r="E178" t="s">
        <v>273</v>
      </c>
      <c r="F178" s="36">
        <v>7</v>
      </c>
      <c r="G178" s="36">
        <v>921</v>
      </c>
      <c r="H178" s="36">
        <f t="shared" si="0"/>
        <v>6447</v>
      </c>
      <c r="I178" s="36">
        <v>81455</v>
      </c>
      <c r="J178" s="36">
        <f t="shared" si="1"/>
        <v>-75008</v>
      </c>
    </row>
    <row r="179" spans="1:10" ht="15.75" customHeight="1" x14ac:dyDescent="0.2">
      <c r="A179" s="35">
        <v>45953</v>
      </c>
      <c r="B179" t="s">
        <v>271</v>
      </c>
      <c r="C179" t="s">
        <v>272</v>
      </c>
      <c r="D179" t="s">
        <v>85</v>
      </c>
      <c r="E179" t="s">
        <v>312</v>
      </c>
      <c r="F179" s="36">
        <v>73</v>
      </c>
      <c r="G179" s="36">
        <v>1044</v>
      </c>
      <c r="H179" s="36">
        <f t="shared" si="0"/>
        <v>76212</v>
      </c>
      <c r="I179" s="36">
        <v>108199</v>
      </c>
      <c r="J179" s="36">
        <f t="shared" si="1"/>
        <v>-31987</v>
      </c>
    </row>
    <row r="180" spans="1:10" ht="15.75" customHeight="1" x14ac:dyDescent="0.2">
      <c r="A180" s="35">
        <v>45843</v>
      </c>
      <c r="B180" t="s">
        <v>268</v>
      </c>
      <c r="C180" t="s">
        <v>269</v>
      </c>
      <c r="D180" t="s">
        <v>92</v>
      </c>
      <c r="E180" t="s">
        <v>273</v>
      </c>
      <c r="F180" s="36">
        <v>42</v>
      </c>
      <c r="G180" s="36">
        <v>895</v>
      </c>
      <c r="H180" s="36">
        <f t="shared" si="0"/>
        <v>37590</v>
      </c>
      <c r="I180" s="36">
        <v>9487</v>
      </c>
      <c r="J180" s="36">
        <f t="shared" si="1"/>
        <v>28103</v>
      </c>
    </row>
    <row r="181" spans="1:10" ht="15.75" customHeight="1" x14ac:dyDescent="0.2">
      <c r="A181" s="35">
        <v>45756</v>
      </c>
      <c r="B181" t="s">
        <v>263</v>
      </c>
      <c r="C181" t="s">
        <v>276</v>
      </c>
      <c r="D181" t="s">
        <v>92</v>
      </c>
      <c r="E181" t="s">
        <v>308</v>
      </c>
      <c r="F181" s="36">
        <v>98</v>
      </c>
      <c r="G181" s="36">
        <v>662</v>
      </c>
      <c r="H181" s="36">
        <f t="shared" si="0"/>
        <v>64876</v>
      </c>
      <c r="I181" s="36">
        <v>32482</v>
      </c>
      <c r="J181" s="36">
        <f t="shared" si="1"/>
        <v>32394</v>
      </c>
    </row>
    <row r="182" spans="1:10" ht="15.75" customHeight="1" x14ac:dyDescent="0.2">
      <c r="A182" s="35">
        <v>45791</v>
      </c>
      <c r="B182" t="s">
        <v>271</v>
      </c>
      <c r="C182" t="s">
        <v>272</v>
      </c>
      <c r="D182" t="s">
        <v>304</v>
      </c>
      <c r="E182" t="s">
        <v>307</v>
      </c>
      <c r="F182" s="36">
        <v>98</v>
      </c>
      <c r="G182" s="36">
        <v>687</v>
      </c>
      <c r="H182" s="36">
        <f t="shared" si="0"/>
        <v>67326</v>
      </c>
      <c r="I182" s="36">
        <v>106820</v>
      </c>
      <c r="J182" s="36">
        <f t="shared" si="1"/>
        <v>-39494</v>
      </c>
    </row>
    <row r="183" spans="1:10" ht="15.75" customHeight="1" x14ac:dyDescent="0.2">
      <c r="A183" s="35">
        <v>45767</v>
      </c>
      <c r="B183" t="s">
        <v>271</v>
      </c>
      <c r="C183" t="s">
        <v>270</v>
      </c>
      <c r="D183" t="s">
        <v>74</v>
      </c>
      <c r="E183" t="s">
        <v>312</v>
      </c>
      <c r="F183" s="36">
        <v>89</v>
      </c>
      <c r="G183" s="36">
        <v>667</v>
      </c>
      <c r="H183" s="36">
        <f t="shared" si="0"/>
        <v>59363</v>
      </c>
      <c r="I183" s="36">
        <v>40493</v>
      </c>
      <c r="J183" s="36">
        <f t="shared" si="1"/>
        <v>18870</v>
      </c>
    </row>
    <row r="184" spans="1:10" ht="15.75" customHeight="1" x14ac:dyDescent="0.2">
      <c r="A184" s="35">
        <v>45755</v>
      </c>
      <c r="B184" t="s">
        <v>268</v>
      </c>
      <c r="C184" t="s">
        <v>265</v>
      </c>
      <c r="D184" t="s">
        <v>304</v>
      </c>
      <c r="E184" t="s">
        <v>84</v>
      </c>
      <c r="F184" s="36">
        <v>70</v>
      </c>
      <c r="G184" s="36">
        <v>411</v>
      </c>
      <c r="H184" s="36">
        <f t="shared" si="0"/>
        <v>28770</v>
      </c>
      <c r="I184" s="36">
        <v>93084</v>
      </c>
      <c r="J184" s="36">
        <f t="shared" si="1"/>
        <v>-64314</v>
      </c>
    </row>
    <row r="185" spans="1:10" ht="15.75" customHeight="1" x14ac:dyDescent="0.2">
      <c r="A185" s="35">
        <v>45759</v>
      </c>
      <c r="B185" t="s">
        <v>268</v>
      </c>
      <c r="C185" t="s">
        <v>269</v>
      </c>
      <c r="D185" t="s">
        <v>306</v>
      </c>
      <c r="E185" t="s">
        <v>84</v>
      </c>
      <c r="F185" s="36">
        <v>90</v>
      </c>
      <c r="G185" s="36">
        <v>1025</v>
      </c>
      <c r="H185" s="36">
        <f t="shared" si="0"/>
        <v>92250</v>
      </c>
      <c r="I185" s="36">
        <v>112676</v>
      </c>
      <c r="J185" s="36">
        <f t="shared" si="1"/>
        <v>-20426</v>
      </c>
    </row>
    <row r="186" spans="1:10" ht="15.75" customHeight="1" x14ac:dyDescent="0.2">
      <c r="A186" s="35">
        <v>45712</v>
      </c>
      <c r="B186" t="s">
        <v>263</v>
      </c>
      <c r="C186" t="s">
        <v>280</v>
      </c>
      <c r="D186" t="s">
        <v>92</v>
      </c>
      <c r="E186" t="s">
        <v>312</v>
      </c>
      <c r="F186" s="36">
        <v>78</v>
      </c>
      <c r="G186" s="36">
        <v>1120</v>
      </c>
      <c r="H186" s="36">
        <f t="shared" si="0"/>
        <v>87360</v>
      </c>
      <c r="I186" s="36">
        <v>46899</v>
      </c>
      <c r="J186" s="36">
        <f t="shared" si="1"/>
        <v>40461</v>
      </c>
    </row>
    <row r="187" spans="1:10" ht="15.75" customHeight="1" x14ac:dyDescent="0.2">
      <c r="A187" s="35">
        <v>45911</v>
      </c>
      <c r="B187" t="s">
        <v>268</v>
      </c>
      <c r="C187" t="s">
        <v>311</v>
      </c>
      <c r="D187" t="s">
        <v>92</v>
      </c>
      <c r="E187" t="s">
        <v>310</v>
      </c>
      <c r="F187" s="36">
        <v>53</v>
      </c>
      <c r="G187" s="36">
        <v>636</v>
      </c>
      <c r="H187" s="36">
        <f t="shared" si="0"/>
        <v>33708</v>
      </c>
      <c r="I187" s="36">
        <v>102864</v>
      </c>
      <c r="J187" s="36">
        <f t="shared" si="1"/>
        <v>-69156</v>
      </c>
    </row>
    <row r="188" spans="1:10" ht="15.75" customHeight="1" x14ac:dyDescent="0.2">
      <c r="A188" s="35">
        <v>45669</v>
      </c>
      <c r="B188" t="s">
        <v>271</v>
      </c>
      <c r="C188" t="s">
        <v>272</v>
      </c>
      <c r="D188" t="s">
        <v>74</v>
      </c>
      <c r="E188" t="s">
        <v>307</v>
      </c>
      <c r="F188" s="36">
        <v>34</v>
      </c>
      <c r="G188" s="36">
        <v>605</v>
      </c>
      <c r="H188" s="36">
        <f t="shared" si="0"/>
        <v>20570</v>
      </c>
      <c r="I188" s="36">
        <v>118966</v>
      </c>
      <c r="J188" s="36">
        <f t="shared" si="1"/>
        <v>-98396</v>
      </c>
    </row>
    <row r="189" spans="1:10" ht="15.75" customHeight="1" x14ac:dyDescent="0.2">
      <c r="A189" s="35">
        <v>45851</v>
      </c>
      <c r="B189" t="s">
        <v>271</v>
      </c>
      <c r="C189" t="s">
        <v>309</v>
      </c>
      <c r="D189" t="s">
        <v>74</v>
      </c>
      <c r="E189" t="s">
        <v>273</v>
      </c>
      <c r="F189" s="36">
        <v>93</v>
      </c>
      <c r="G189" s="36">
        <v>1344</v>
      </c>
      <c r="H189" s="36">
        <f t="shared" si="0"/>
        <v>124992</v>
      </c>
      <c r="I189" s="36">
        <v>90078</v>
      </c>
      <c r="J189" s="36">
        <f t="shared" si="1"/>
        <v>34914</v>
      </c>
    </row>
    <row r="190" spans="1:10" ht="15.75" customHeight="1" x14ac:dyDescent="0.2">
      <c r="A190" s="35">
        <v>46015</v>
      </c>
      <c r="B190" t="s">
        <v>268</v>
      </c>
      <c r="C190" t="s">
        <v>265</v>
      </c>
      <c r="D190" t="s">
        <v>306</v>
      </c>
      <c r="E190" t="s">
        <v>305</v>
      </c>
      <c r="F190" s="36">
        <v>34</v>
      </c>
      <c r="G190" s="36">
        <v>478</v>
      </c>
      <c r="H190" s="36">
        <f t="shared" si="0"/>
        <v>16252</v>
      </c>
      <c r="I190" s="36">
        <v>49876</v>
      </c>
      <c r="J190" s="36">
        <f t="shared" si="1"/>
        <v>-33624</v>
      </c>
    </row>
    <row r="191" spans="1:10" ht="15.75" customHeight="1" x14ac:dyDescent="0.2">
      <c r="A191" s="35">
        <v>45680</v>
      </c>
      <c r="B191" t="s">
        <v>268</v>
      </c>
      <c r="C191" t="s">
        <v>265</v>
      </c>
      <c r="D191" t="s">
        <v>306</v>
      </c>
      <c r="E191" t="s">
        <v>77</v>
      </c>
      <c r="F191" s="36">
        <v>96</v>
      </c>
      <c r="G191" s="36">
        <v>565</v>
      </c>
      <c r="H191" s="36">
        <f t="shared" si="0"/>
        <v>54240</v>
      </c>
      <c r="I191" s="36">
        <v>93146</v>
      </c>
      <c r="J191" s="36">
        <f t="shared" si="1"/>
        <v>-38906</v>
      </c>
    </row>
    <row r="192" spans="1:10" ht="15.75" customHeight="1" x14ac:dyDescent="0.2">
      <c r="A192" s="35">
        <v>45743</v>
      </c>
      <c r="B192" t="s">
        <v>268</v>
      </c>
      <c r="C192" t="s">
        <v>311</v>
      </c>
      <c r="D192" t="s">
        <v>85</v>
      </c>
      <c r="E192" t="s">
        <v>273</v>
      </c>
      <c r="F192" s="36">
        <v>116</v>
      </c>
      <c r="G192" s="36">
        <v>495</v>
      </c>
      <c r="H192" s="36">
        <f t="shared" si="0"/>
        <v>57420</v>
      </c>
      <c r="I192" s="36">
        <v>17380</v>
      </c>
      <c r="J192" s="36">
        <f t="shared" si="1"/>
        <v>40040</v>
      </c>
    </row>
    <row r="193" spans="1:10" ht="15.75" customHeight="1" x14ac:dyDescent="0.2">
      <c r="A193" s="35">
        <v>45954</v>
      </c>
      <c r="B193" t="s">
        <v>271</v>
      </c>
      <c r="C193" t="s">
        <v>272</v>
      </c>
      <c r="D193" t="s">
        <v>85</v>
      </c>
      <c r="E193" t="s">
        <v>310</v>
      </c>
      <c r="F193" s="36">
        <v>114</v>
      </c>
      <c r="G193" s="36">
        <v>1388</v>
      </c>
      <c r="H193" s="36">
        <f t="shared" si="0"/>
        <v>158232</v>
      </c>
      <c r="I193" s="36">
        <v>31744</v>
      </c>
      <c r="J193" s="36">
        <f t="shared" si="1"/>
        <v>126488</v>
      </c>
    </row>
    <row r="194" spans="1:10" ht="15.75" customHeight="1" x14ac:dyDescent="0.2">
      <c r="A194" s="35">
        <v>45716</v>
      </c>
      <c r="B194" t="s">
        <v>271</v>
      </c>
      <c r="C194" t="s">
        <v>272</v>
      </c>
      <c r="D194" t="s">
        <v>304</v>
      </c>
      <c r="E194" t="s">
        <v>312</v>
      </c>
      <c r="F194" s="36">
        <v>77</v>
      </c>
      <c r="G194" s="36">
        <v>946</v>
      </c>
      <c r="H194" s="36">
        <f t="shared" si="0"/>
        <v>72842</v>
      </c>
      <c r="I194" s="36">
        <v>5835</v>
      </c>
      <c r="J194" s="36">
        <f t="shared" si="1"/>
        <v>67007</v>
      </c>
    </row>
    <row r="195" spans="1:10" ht="15.75" customHeight="1" x14ac:dyDescent="0.2">
      <c r="A195" s="35">
        <v>45761</v>
      </c>
      <c r="B195" t="s">
        <v>271</v>
      </c>
      <c r="C195" t="s">
        <v>270</v>
      </c>
      <c r="D195" t="s">
        <v>92</v>
      </c>
      <c r="E195" t="s">
        <v>273</v>
      </c>
      <c r="F195" s="36">
        <v>117</v>
      </c>
      <c r="G195" s="36">
        <v>718</v>
      </c>
      <c r="H195" s="36">
        <f t="shared" si="0"/>
        <v>84006</v>
      </c>
      <c r="I195" s="36">
        <v>66720</v>
      </c>
      <c r="J195" s="36">
        <f t="shared" si="1"/>
        <v>17286</v>
      </c>
    </row>
    <row r="196" spans="1:10" ht="15.75" customHeight="1" x14ac:dyDescent="0.2">
      <c r="A196" s="35">
        <v>46013</v>
      </c>
      <c r="B196" t="s">
        <v>263</v>
      </c>
      <c r="C196" t="s">
        <v>280</v>
      </c>
      <c r="D196" t="s">
        <v>74</v>
      </c>
      <c r="E196" t="s">
        <v>307</v>
      </c>
      <c r="F196" s="36">
        <v>110</v>
      </c>
      <c r="G196" s="36">
        <v>287</v>
      </c>
      <c r="H196" s="36">
        <f t="shared" si="0"/>
        <v>31570</v>
      </c>
      <c r="I196" s="36">
        <v>68358</v>
      </c>
      <c r="J196" s="36">
        <f t="shared" si="1"/>
        <v>-36788</v>
      </c>
    </row>
    <row r="197" spans="1:10" ht="15.75" customHeight="1" x14ac:dyDescent="0.2">
      <c r="A197" s="35">
        <v>45685</v>
      </c>
      <c r="B197" t="s">
        <v>271</v>
      </c>
      <c r="C197" t="s">
        <v>272</v>
      </c>
      <c r="D197" t="s">
        <v>92</v>
      </c>
      <c r="E197" t="s">
        <v>84</v>
      </c>
      <c r="F197" s="36">
        <v>8</v>
      </c>
      <c r="G197" s="36">
        <v>264</v>
      </c>
      <c r="H197" s="36">
        <f t="shared" si="0"/>
        <v>2112</v>
      </c>
      <c r="I197" s="36">
        <v>98721</v>
      </c>
      <c r="J197" s="36">
        <f t="shared" si="1"/>
        <v>-96609</v>
      </c>
    </row>
    <row r="198" spans="1:10" ht="15.75" customHeight="1" x14ac:dyDescent="0.2">
      <c r="A198" s="35">
        <v>45862</v>
      </c>
      <c r="B198" t="s">
        <v>271</v>
      </c>
      <c r="C198" t="s">
        <v>309</v>
      </c>
      <c r="D198" t="s">
        <v>92</v>
      </c>
      <c r="E198" t="s">
        <v>77</v>
      </c>
      <c r="F198" s="36">
        <v>42</v>
      </c>
      <c r="G198" s="36">
        <v>1479</v>
      </c>
      <c r="H198" s="36">
        <f t="shared" si="0"/>
        <v>62118</v>
      </c>
      <c r="I198" s="36">
        <v>91865</v>
      </c>
      <c r="J198" s="36">
        <f t="shared" si="1"/>
        <v>-29747</v>
      </c>
    </row>
    <row r="199" spans="1:10" ht="15.75" customHeight="1" x14ac:dyDescent="0.2">
      <c r="A199" s="35">
        <v>45956</v>
      </c>
      <c r="B199" t="s">
        <v>263</v>
      </c>
      <c r="C199" t="s">
        <v>264</v>
      </c>
      <c r="D199" t="s">
        <v>74</v>
      </c>
      <c r="E199" t="s">
        <v>307</v>
      </c>
      <c r="F199" s="36">
        <v>118</v>
      </c>
      <c r="G199" s="36">
        <v>1329</v>
      </c>
      <c r="H199" s="36">
        <f t="shared" si="0"/>
        <v>156822</v>
      </c>
      <c r="I199" s="36">
        <v>28837</v>
      </c>
      <c r="J199" s="36">
        <f t="shared" si="1"/>
        <v>127985</v>
      </c>
    </row>
    <row r="200" spans="1:10" ht="15.75" customHeight="1" x14ac:dyDescent="0.2">
      <c r="A200" s="35">
        <v>45872</v>
      </c>
      <c r="B200" t="s">
        <v>271</v>
      </c>
      <c r="C200" t="s">
        <v>270</v>
      </c>
      <c r="D200" t="s">
        <v>85</v>
      </c>
      <c r="E200" t="s">
        <v>77</v>
      </c>
      <c r="F200" s="36">
        <v>6</v>
      </c>
      <c r="G200" s="36">
        <v>826</v>
      </c>
      <c r="H200" s="36">
        <f t="shared" si="0"/>
        <v>4956</v>
      </c>
      <c r="I200" s="36">
        <v>67207</v>
      </c>
      <c r="J200" s="36">
        <f t="shared" si="1"/>
        <v>-62251</v>
      </c>
    </row>
    <row r="201" spans="1:10" ht="15.75" customHeight="1" x14ac:dyDescent="0.2">
      <c r="A201" s="35">
        <v>45895</v>
      </c>
      <c r="B201" t="s">
        <v>268</v>
      </c>
      <c r="C201" t="s">
        <v>265</v>
      </c>
      <c r="D201" t="s">
        <v>85</v>
      </c>
      <c r="E201" t="s">
        <v>273</v>
      </c>
      <c r="F201" s="36">
        <v>64</v>
      </c>
      <c r="G201" s="36">
        <v>1451</v>
      </c>
      <c r="H201" s="36">
        <f t="shared" si="0"/>
        <v>92864</v>
      </c>
      <c r="I201" s="36">
        <v>104811</v>
      </c>
      <c r="J201" s="36">
        <f t="shared" si="1"/>
        <v>-11947</v>
      </c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501"/>
  <sheetViews>
    <sheetView workbookViewId="0"/>
  </sheetViews>
  <sheetFormatPr defaultColWidth="14.390625" defaultRowHeight="15" customHeight="1" x14ac:dyDescent="0.2"/>
  <cols>
    <col min="1" max="15" width="8.7421875" customWidth="1"/>
  </cols>
  <sheetData>
    <row r="1" spans="1:15" x14ac:dyDescent="0.2">
      <c r="A1" t="s">
        <v>59</v>
      </c>
      <c r="B1" t="s">
        <v>60</v>
      </c>
      <c r="C1" t="s">
        <v>258</v>
      </c>
      <c r="D1" t="s">
        <v>61</v>
      </c>
      <c r="E1" t="s">
        <v>180</v>
      </c>
      <c r="F1" t="s">
        <v>62</v>
      </c>
      <c r="G1" t="s">
        <v>299</v>
      </c>
      <c r="H1" t="s">
        <v>300</v>
      </c>
      <c r="I1" t="s">
        <v>301</v>
      </c>
      <c r="J1" t="s">
        <v>313</v>
      </c>
      <c r="K1" t="s">
        <v>262</v>
      </c>
      <c r="L1" t="s">
        <v>314</v>
      </c>
      <c r="M1" t="s">
        <v>303</v>
      </c>
      <c r="N1" t="s">
        <v>315</v>
      </c>
      <c r="O1" t="s">
        <v>316</v>
      </c>
    </row>
    <row r="2" spans="1:15" x14ac:dyDescent="0.2">
      <c r="A2" t="s">
        <v>174</v>
      </c>
      <c r="B2" t="s">
        <v>271</v>
      </c>
      <c r="C2" t="s">
        <v>270</v>
      </c>
      <c r="D2" t="s">
        <v>317</v>
      </c>
      <c r="E2" t="s">
        <v>318</v>
      </c>
      <c r="F2" t="s">
        <v>70</v>
      </c>
      <c r="G2">
        <v>391</v>
      </c>
      <c r="H2">
        <v>1427</v>
      </c>
      <c r="I2">
        <v>557957</v>
      </c>
      <c r="J2">
        <v>462557</v>
      </c>
      <c r="K2">
        <v>95400</v>
      </c>
      <c r="L2">
        <v>577765</v>
      </c>
      <c r="M2">
        <v>-19808</v>
      </c>
      <c r="N2" t="s">
        <v>319</v>
      </c>
      <c r="O2" t="s">
        <v>320</v>
      </c>
    </row>
    <row r="3" spans="1:15" x14ac:dyDescent="0.2">
      <c r="A3" t="s">
        <v>321</v>
      </c>
      <c r="B3" t="s">
        <v>271</v>
      </c>
      <c r="C3" t="s">
        <v>309</v>
      </c>
      <c r="D3" t="s">
        <v>308</v>
      </c>
      <c r="E3" t="s">
        <v>318</v>
      </c>
      <c r="F3" t="s">
        <v>87</v>
      </c>
      <c r="G3">
        <v>99</v>
      </c>
      <c r="H3">
        <v>659</v>
      </c>
      <c r="I3">
        <v>65241</v>
      </c>
      <c r="J3">
        <v>37036</v>
      </c>
      <c r="K3">
        <v>28205</v>
      </c>
      <c r="L3">
        <v>56775</v>
      </c>
      <c r="M3">
        <v>8466</v>
      </c>
      <c r="N3" t="s">
        <v>322</v>
      </c>
      <c r="O3" t="s">
        <v>320</v>
      </c>
    </row>
    <row r="4" spans="1:15" x14ac:dyDescent="0.2">
      <c r="A4" t="s">
        <v>323</v>
      </c>
      <c r="B4" t="s">
        <v>263</v>
      </c>
      <c r="C4" t="s">
        <v>280</v>
      </c>
      <c r="D4" t="s">
        <v>324</v>
      </c>
      <c r="E4" t="s">
        <v>325</v>
      </c>
      <c r="F4" t="s">
        <v>81</v>
      </c>
      <c r="G4">
        <v>346</v>
      </c>
      <c r="H4">
        <v>248</v>
      </c>
      <c r="I4">
        <v>85808</v>
      </c>
      <c r="J4">
        <v>56383</v>
      </c>
      <c r="K4">
        <v>29425</v>
      </c>
      <c r="L4">
        <v>72188</v>
      </c>
      <c r="M4">
        <v>13620</v>
      </c>
      <c r="N4" t="s">
        <v>186</v>
      </c>
      <c r="O4" t="s">
        <v>326</v>
      </c>
    </row>
    <row r="5" spans="1:15" x14ac:dyDescent="0.2">
      <c r="A5" t="s">
        <v>327</v>
      </c>
      <c r="B5" t="s">
        <v>328</v>
      </c>
      <c r="C5" t="s">
        <v>329</v>
      </c>
      <c r="D5" t="s">
        <v>330</v>
      </c>
      <c r="E5" t="s">
        <v>325</v>
      </c>
      <c r="F5" t="s">
        <v>92</v>
      </c>
      <c r="G5">
        <v>208</v>
      </c>
      <c r="H5">
        <v>1762</v>
      </c>
      <c r="I5">
        <v>366496</v>
      </c>
      <c r="J5">
        <v>282936</v>
      </c>
      <c r="K5">
        <v>83560</v>
      </c>
      <c r="L5">
        <v>349006</v>
      </c>
      <c r="M5">
        <v>17490</v>
      </c>
      <c r="N5" t="s">
        <v>319</v>
      </c>
      <c r="O5" t="s">
        <v>331</v>
      </c>
    </row>
    <row r="6" spans="1:15" x14ac:dyDescent="0.2">
      <c r="A6" t="s">
        <v>332</v>
      </c>
      <c r="B6" t="s">
        <v>333</v>
      </c>
      <c r="C6" t="s">
        <v>311</v>
      </c>
      <c r="D6" t="s">
        <v>73</v>
      </c>
      <c r="E6" t="s">
        <v>318</v>
      </c>
      <c r="F6" t="s">
        <v>306</v>
      </c>
      <c r="G6">
        <v>381</v>
      </c>
      <c r="H6">
        <v>1286</v>
      </c>
      <c r="I6">
        <v>489966</v>
      </c>
      <c r="J6">
        <v>403626</v>
      </c>
      <c r="K6">
        <v>86340</v>
      </c>
      <c r="L6">
        <v>473664</v>
      </c>
      <c r="M6">
        <v>16302</v>
      </c>
      <c r="N6" t="s">
        <v>322</v>
      </c>
      <c r="O6" t="s">
        <v>326</v>
      </c>
    </row>
    <row r="7" spans="1:15" x14ac:dyDescent="0.2">
      <c r="A7" t="s">
        <v>334</v>
      </c>
      <c r="B7" t="s">
        <v>263</v>
      </c>
      <c r="C7" t="s">
        <v>280</v>
      </c>
      <c r="D7" t="s">
        <v>335</v>
      </c>
      <c r="E7" t="s">
        <v>325</v>
      </c>
      <c r="F7" t="s">
        <v>92</v>
      </c>
      <c r="G7">
        <v>77</v>
      </c>
      <c r="H7">
        <v>1181</v>
      </c>
      <c r="I7">
        <v>90937</v>
      </c>
      <c r="J7">
        <v>47394</v>
      </c>
      <c r="K7">
        <v>43543</v>
      </c>
      <c r="L7">
        <v>79408</v>
      </c>
      <c r="M7">
        <v>11529</v>
      </c>
      <c r="N7" t="s">
        <v>319</v>
      </c>
      <c r="O7" t="s">
        <v>331</v>
      </c>
    </row>
    <row r="8" spans="1:15" x14ac:dyDescent="0.2">
      <c r="A8" t="s">
        <v>132</v>
      </c>
      <c r="B8" t="s">
        <v>263</v>
      </c>
      <c r="C8" t="s">
        <v>264</v>
      </c>
      <c r="D8" t="s">
        <v>336</v>
      </c>
      <c r="E8" t="s">
        <v>71</v>
      </c>
      <c r="F8" t="s">
        <v>87</v>
      </c>
      <c r="G8">
        <v>361</v>
      </c>
      <c r="H8">
        <v>831</v>
      </c>
      <c r="I8">
        <v>299991</v>
      </c>
      <c r="J8">
        <v>191499</v>
      </c>
      <c r="K8">
        <v>108492</v>
      </c>
      <c r="L8">
        <v>292757</v>
      </c>
      <c r="M8">
        <v>7234</v>
      </c>
      <c r="N8" t="s">
        <v>322</v>
      </c>
      <c r="O8" t="s">
        <v>331</v>
      </c>
    </row>
    <row r="9" spans="1:15" x14ac:dyDescent="0.2">
      <c r="A9" t="s">
        <v>337</v>
      </c>
      <c r="B9" t="s">
        <v>338</v>
      </c>
      <c r="C9" t="s">
        <v>339</v>
      </c>
      <c r="D9" t="s">
        <v>340</v>
      </c>
      <c r="E9" t="s">
        <v>71</v>
      </c>
      <c r="F9" t="s">
        <v>87</v>
      </c>
      <c r="G9">
        <v>232</v>
      </c>
      <c r="H9">
        <v>1350</v>
      </c>
      <c r="I9">
        <v>313200</v>
      </c>
      <c r="J9">
        <v>214522</v>
      </c>
      <c r="K9">
        <v>98678</v>
      </c>
      <c r="L9">
        <v>295169</v>
      </c>
      <c r="M9">
        <v>18031</v>
      </c>
      <c r="N9" t="s">
        <v>341</v>
      </c>
      <c r="O9" t="s">
        <v>326</v>
      </c>
    </row>
    <row r="10" spans="1:15" x14ac:dyDescent="0.2">
      <c r="A10" t="s">
        <v>342</v>
      </c>
      <c r="B10" t="s">
        <v>333</v>
      </c>
      <c r="C10" t="s">
        <v>343</v>
      </c>
      <c r="D10" t="s">
        <v>77</v>
      </c>
      <c r="E10" t="s">
        <v>318</v>
      </c>
      <c r="F10" t="s">
        <v>199</v>
      </c>
      <c r="G10">
        <v>346</v>
      </c>
      <c r="H10">
        <v>423</v>
      </c>
      <c r="I10">
        <v>146358</v>
      </c>
      <c r="J10">
        <v>120521</v>
      </c>
      <c r="K10">
        <v>25837</v>
      </c>
      <c r="L10">
        <v>141029</v>
      </c>
      <c r="M10">
        <v>5329</v>
      </c>
      <c r="N10" t="s">
        <v>319</v>
      </c>
      <c r="O10" t="s">
        <v>326</v>
      </c>
    </row>
    <row r="11" spans="1:15" x14ac:dyDescent="0.2">
      <c r="A11" t="s">
        <v>344</v>
      </c>
      <c r="B11" t="s">
        <v>338</v>
      </c>
      <c r="C11" t="s">
        <v>345</v>
      </c>
      <c r="D11" t="s">
        <v>308</v>
      </c>
      <c r="E11" t="s">
        <v>318</v>
      </c>
      <c r="F11" t="s">
        <v>199</v>
      </c>
      <c r="G11">
        <v>75</v>
      </c>
      <c r="H11">
        <v>1844</v>
      </c>
      <c r="I11">
        <v>138300</v>
      </c>
      <c r="J11">
        <v>92476</v>
      </c>
      <c r="K11">
        <v>45824</v>
      </c>
      <c r="L11">
        <v>147151</v>
      </c>
      <c r="M11">
        <v>-8851</v>
      </c>
      <c r="N11" t="s">
        <v>341</v>
      </c>
      <c r="O11" t="s">
        <v>320</v>
      </c>
    </row>
    <row r="12" spans="1:15" x14ac:dyDescent="0.2">
      <c r="A12" t="s">
        <v>298</v>
      </c>
      <c r="B12" t="s">
        <v>333</v>
      </c>
      <c r="C12" t="s">
        <v>269</v>
      </c>
      <c r="D12" t="s">
        <v>273</v>
      </c>
      <c r="E12" t="s">
        <v>82</v>
      </c>
      <c r="F12" t="s">
        <v>87</v>
      </c>
      <c r="G12">
        <v>24</v>
      </c>
      <c r="H12">
        <v>1203</v>
      </c>
      <c r="I12">
        <v>28872</v>
      </c>
      <c r="J12">
        <v>21638</v>
      </c>
      <c r="K12">
        <v>7234</v>
      </c>
      <c r="L12">
        <v>27239</v>
      </c>
      <c r="M12">
        <v>1633</v>
      </c>
      <c r="N12" t="s">
        <v>186</v>
      </c>
      <c r="O12" t="s">
        <v>326</v>
      </c>
    </row>
    <row r="13" spans="1:15" x14ac:dyDescent="0.2">
      <c r="A13" t="s">
        <v>151</v>
      </c>
      <c r="B13" t="s">
        <v>271</v>
      </c>
      <c r="C13" t="s">
        <v>270</v>
      </c>
      <c r="D13" t="s">
        <v>346</v>
      </c>
      <c r="E13" t="s">
        <v>82</v>
      </c>
      <c r="F13" t="s">
        <v>92</v>
      </c>
      <c r="G13">
        <v>61</v>
      </c>
      <c r="H13">
        <v>460</v>
      </c>
      <c r="I13">
        <v>28060</v>
      </c>
      <c r="J13">
        <v>20903</v>
      </c>
      <c r="K13">
        <v>7157</v>
      </c>
      <c r="L13">
        <v>25369</v>
      </c>
      <c r="M13">
        <v>2691</v>
      </c>
      <c r="N13" t="s">
        <v>319</v>
      </c>
      <c r="O13" t="s">
        <v>326</v>
      </c>
    </row>
    <row r="14" spans="1:15" x14ac:dyDescent="0.2">
      <c r="A14" t="s">
        <v>110</v>
      </c>
      <c r="B14" t="s">
        <v>263</v>
      </c>
      <c r="C14" t="s">
        <v>347</v>
      </c>
      <c r="D14" t="s">
        <v>330</v>
      </c>
      <c r="E14" t="s">
        <v>71</v>
      </c>
      <c r="F14" t="s">
        <v>199</v>
      </c>
      <c r="G14">
        <v>9</v>
      </c>
      <c r="H14">
        <v>543</v>
      </c>
      <c r="I14">
        <v>4887</v>
      </c>
      <c r="J14">
        <v>4152</v>
      </c>
      <c r="K14">
        <v>735</v>
      </c>
      <c r="L14">
        <v>-5002</v>
      </c>
      <c r="M14">
        <v>9889</v>
      </c>
      <c r="N14" t="s">
        <v>186</v>
      </c>
      <c r="O14" t="s">
        <v>189</v>
      </c>
    </row>
    <row r="15" spans="1:15" x14ac:dyDescent="0.2">
      <c r="A15" t="s">
        <v>109</v>
      </c>
      <c r="B15" t="s">
        <v>263</v>
      </c>
      <c r="C15" t="s">
        <v>280</v>
      </c>
      <c r="D15" t="s">
        <v>273</v>
      </c>
      <c r="E15" t="s">
        <v>325</v>
      </c>
      <c r="F15" t="s">
        <v>92</v>
      </c>
      <c r="G15">
        <v>358</v>
      </c>
      <c r="H15">
        <v>135</v>
      </c>
      <c r="I15">
        <v>48330</v>
      </c>
      <c r="J15">
        <v>28089</v>
      </c>
      <c r="K15">
        <v>20241</v>
      </c>
      <c r="L15">
        <v>64802</v>
      </c>
      <c r="M15">
        <v>-16472</v>
      </c>
      <c r="N15" t="s">
        <v>319</v>
      </c>
      <c r="O15" t="s">
        <v>320</v>
      </c>
    </row>
    <row r="16" spans="1:15" x14ac:dyDescent="0.2">
      <c r="A16" t="s">
        <v>221</v>
      </c>
      <c r="B16" t="s">
        <v>338</v>
      </c>
      <c r="C16" t="s">
        <v>348</v>
      </c>
      <c r="D16" t="s">
        <v>95</v>
      </c>
      <c r="E16" t="s">
        <v>318</v>
      </c>
      <c r="F16" t="s">
        <v>70</v>
      </c>
      <c r="G16">
        <v>274</v>
      </c>
      <c r="H16">
        <v>149</v>
      </c>
      <c r="I16">
        <v>40826</v>
      </c>
      <c r="J16">
        <v>29752</v>
      </c>
      <c r="K16">
        <v>11074</v>
      </c>
      <c r="L16">
        <v>45972</v>
      </c>
      <c r="M16">
        <v>-5146</v>
      </c>
      <c r="N16" t="s">
        <v>341</v>
      </c>
      <c r="O16" t="s">
        <v>320</v>
      </c>
    </row>
    <row r="17" spans="1:15" x14ac:dyDescent="0.2">
      <c r="A17" t="s">
        <v>349</v>
      </c>
      <c r="B17" t="s">
        <v>338</v>
      </c>
      <c r="C17" t="s">
        <v>350</v>
      </c>
      <c r="D17" t="s">
        <v>273</v>
      </c>
      <c r="E17" t="s">
        <v>325</v>
      </c>
      <c r="F17" t="s">
        <v>199</v>
      </c>
      <c r="G17">
        <v>234</v>
      </c>
      <c r="H17">
        <v>174</v>
      </c>
      <c r="I17">
        <v>40716</v>
      </c>
      <c r="J17">
        <v>25193</v>
      </c>
      <c r="K17">
        <v>15523</v>
      </c>
      <c r="L17">
        <v>22781</v>
      </c>
      <c r="M17">
        <v>17935</v>
      </c>
      <c r="N17" t="s">
        <v>322</v>
      </c>
      <c r="O17" t="s">
        <v>331</v>
      </c>
    </row>
    <row r="18" spans="1:15" x14ac:dyDescent="0.2">
      <c r="A18" t="s">
        <v>351</v>
      </c>
      <c r="B18" t="s">
        <v>263</v>
      </c>
      <c r="C18" t="s">
        <v>347</v>
      </c>
      <c r="D18" t="s">
        <v>273</v>
      </c>
      <c r="E18" t="s">
        <v>71</v>
      </c>
      <c r="F18" t="s">
        <v>74</v>
      </c>
      <c r="G18">
        <v>356</v>
      </c>
      <c r="H18">
        <v>921</v>
      </c>
      <c r="I18">
        <v>327876</v>
      </c>
      <c r="J18">
        <v>274890</v>
      </c>
      <c r="K18">
        <v>52986</v>
      </c>
      <c r="L18">
        <v>308293</v>
      </c>
      <c r="M18">
        <v>19583</v>
      </c>
      <c r="N18" t="s">
        <v>341</v>
      </c>
      <c r="O18" t="s">
        <v>331</v>
      </c>
    </row>
    <row r="19" spans="1:15" x14ac:dyDescent="0.2">
      <c r="A19" t="s">
        <v>352</v>
      </c>
      <c r="B19" t="s">
        <v>333</v>
      </c>
      <c r="C19" t="s">
        <v>265</v>
      </c>
      <c r="D19" t="s">
        <v>84</v>
      </c>
      <c r="E19" t="s">
        <v>325</v>
      </c>
      <c r="F19" t="s">
        <v>92</v>
      </c>
      <c r="G19">
        <v>160</v>
      </c>
      <c r="H19">
        <v>724</v>
      </c>
      <c r="I19">
        <v>115840</v>
      </c>
      <c r="J19">
        <v>96165</v>
      </c>
      <c r="K19">
        <v>19675</v>
      </c>
      <c r="L19">
        <v>132977</v>
      </c>
      <c r="M19">
        <v>-17137</v>
      </c>
      <c r="N19" t="s">
        <v>322</v>
      </c>
      <c r="O19" t="s">
        <v>189</v>
      </c>
    </row>
    <row r="20" spans="1:15" x14ac:dyDescent="0.2">
      <c r="A20" t="s">
        <v>353</v>
      </c>
      <c r="B20" t="s">
        <v>263</v>
      </c>
      <c r="C20" t="s">
        <v>354</v>
      </c>
      <c r="D20" t="s">
        <v>355</v>
      </c>
      <c r="E20" t="s">
        <v>318</v>
      </c>
      <c r="F20" t="s">
        <v>356</v>
      </c>
      <c r="G20">
        <v>156</v>
      </c>
      <c r="H20">
        <v>1816</v>
      </c>
      <c r="I20">
        <v>283296</v>
      </c>
      <c r="J20">
        <v>144461</v>
      </c>
      <c r="K20">
        <v>138835</v>
      </c>
      <c r="L20">
        <v>275581</v>
      </c>
      <c r="M20">
        <v>7715</v>
      </c>
      <c r="N20" t="s">
        <v>319</v>
      </c>
      <c r="O20" t="s">
        <v>326</v>
      </c>
    </row>
    <row r="21" spans="1:15" ht="15.75" customHeight="1" x14ac:dyDescent="0.2">
      <c r="A21" t="s">
        <v>357</v>
      </c>
      <c r="B21" t="s">
        <v>333</v>
      </c>
      <c r="C21" t="s">
        <v>269</v>
      </c>
      <c r="D21" t="s">
        <v>69</v>
      </c>
      <c r="E21" t="s">
        <v>318</v>
      </c>
      <c r="F21" t="s">
        <v>87</v>
      </c>
      <c r="G21">
        <v>162</v>
      </c>
      <c r="H21">
        <v>1531</v>
      </c>
      <c r="I21">
        <v>248022</v>
      </c>
      <c r="J21">
        <v>135726</v>
      </c>
      <c r="K21">
        <v>112296</v>
      </c>
      <c r="L21">
        <v>237972</v>
      </c>
      <c r="M21">
        <v>10050</v>
      </c>
      <c r="N21" t="s">
        <v>319</v>
      </c>
      <c r="O21" t="s">
        <v>331</v>
      </c>
    </row>
    <row r="22" spans="1:15" ht="15.75" customHeight="1" x14ac:dyDescent="0.2">
      <c r="A22" t="s">
        <v>358</v>
      </c>
      <c r="B22" t="s">
        <v>328</v>
      </c>
      <c r="C22" t="s">
        <v>359</v>
      </c>
      <c r="D22" t="s">
        <v>360</v>
      </c>
      <c r="E22" t="s">
        <v>318</v>
      </c>
      <c r="F22" t="s">
        <v>74</v>
      </c>
      <c r="G22">
        <v>382</v>
      </c>
      <c r="H22">
        <v>1283</v>
      </c>
      <c r="I22">
        <v>490106</v>
      </c>
      <c r="J22">
        <v>397532</v>
      </c>
      <c r="K22">
        <v>92574</v>
      </c>
      <c r="L22">
        <v>477846</v>
      </c>
      <c r="M22">
        <v>12260</v>
      </c>
      <c r="N22" t="s">
        <v>319</v>
      </c>
      <c r="O22" t="s">
        <v>189</v>
      </c>
    </row>
    <row r="23" spans="1:15" ht="15.75" customHeight="1" x14ac:dyDescent="0.2">
      <c r="A23" t="s">
        <v>361</v>
      </c>
      <c r="B23" t="s">
        <v>271</v>
      </c>
      <c r="C23" t="s">
        <v>272</v>
      </c>
      <c r="D23" t="s">
        <v>308</v>
      </c>
      <c r="E23" t="s">
        <v>71</v>
      </c>
      <c r="F23" t="s">
        <v>70</v>
      </c>
      <c r="G23">
        <v>60</v>
      </c>
      <c r="H23">
        <v>1321</v>
      </c>
      <c r="I23">
        <v>79260</v>
      </c>
      <c r="J23">
        <v>52306</v>
      </c>
      <c r="K23">
        <v>26954</v>
      </c>
      <c r="L23">
        <v>82052</v>
      </c>
      <c r="M23">
        <v>-2792</v>
      </c>
      <c r="N23" t="s">
        <v>341</v>
      </c>
      <c r="O23" t="s">
        <v>320</v>
      </c>
    </row>
    <row r="24" spans="1:15" ht="15.75" customHeight="1" x14ac:dyDescent="0.2">
      <c r="A24" t="s">
        <v>129</v>
      </c>
      <c r="B24" t="s">
        <v>338</v>
      </c>
      <c r="C24" t="s">
        <v>350</v>
      </c>
      <c r="D24" t="s">
        <v>73</v>
      </c>
      <c r="E24" t="s">
        <v>325</v>
      </c>
      <c r="F24" t="s">
        <v>81</v>
      </c>
      <c r="G24">
        <v>231</v>
      </c>
      <c r="H24">
        <v>1879</v>
      </c>
      <c r="I24">
        <v>434049</v>
      </c>
      <c r="J24">
        <v>311434</v>
      </c>
      <c r="K24">
        <v>122615</v>
      </c>
      <c r="L24">
        <v>443442</v>
      </c>
      <c r="M24">
        <v>-9393</v>
      </c>
      <c r="N24" t="s">
        <v>319</v>
      </c>
      <c r="O24" t="s">
        <v>331</v>
      </c>
    </row>
    <row r="25" spans="1:15" ht="15.75" customHeight="1" x14ac:dyDescent="0.2">
      <c r="A25" t="s">
        <v>362</v>
      </c>
      <c r="B25" t="s">
        <v>263</v>
      </c>
      <c r="C25" t="s">
        <v>280</v>
      </c>
      <c r="D25" t="s">
        <v>69</v>
      </c>
      <c r="E25" t="s">
        <v>71</v>
      </c>
      <c r="F25" t="s">
        <v>70</v>
      </c>
      <c r="G25">
        <v>63</v>
      </c>
      <c r="H25">
        <v>600</v>
      </c>
      <c r="I25">
        <v>37800</v>
      </c>
      <c r="J25">
        <v>31304</v>
      </c>
      <c r="K25">
        <v>6496</v>
      </c>
      <c r="L25">
        <v>44219</v>
      </c>
      <c r="M25">
        <v>-6419</v>
      </c>
      <c r="N25" t="s">
        <v>186</v>
      </c>
      <c r="O25" t="s">
        <v>320</v>
      </c>
    </row>
    <row r="26" spans="1:15" ht="15.75" customHeight="1" x14ac:dyDescent="0.2">
      <c r="A26" t="s">
        <v>89</v>
      </c>
      <c r="B26" t="s">
        <v>271</v>
      </c>
      <c r="C26" t="s">
        <v>272</v>
      </c>
      <c r="D26" t="s">
        <v>324</v>
      </c>
      <c r="E26" t="s">
        <v>318</v>
      </c>
      <c r="F26" t="s">
        <v>87</v>
      </c>
      <c r="G26">
        <v>346</v>
      </c>
      <c r="H26">
        <v>735</v>
      </c>
      <c r="I26">
        <v>254310</v>
      </c>
      <c r="J26">
        <v>176340</v>
      </c>
      <c r="K26">
        <v>77970</v>
      </c>
      <c r="L26">
        <v>241499</v>
      </c>
      <c r="M26">
        <v>12811</v>
      </c>
      <c r="N26" t="s">
        <v>341</v>
      </c>
      <c r="O26" t="s">
        <v>326</v>
      </c>
    </row>
    <row r="27" spans="1:15" ht="15.75" customHeight="1" x14ac:dyDescent="0.2">
      <c r="A27" t="s">
        <v>363</v>
      </c>
      <c r="B27" t="s">
        <v>271</v>
      </c>
      <c r="C27" t="s">
        <v>270</v>
      </c>
      <c r="D27" t="s">
        <v>69</v>
      </c>
      <c r="E27" t="s">
        <v>318</v>
      </c>
      <c r="F27" t="s">
        <v>87</v>
      </c>
      <c r="G27">
        <v>122</v>
      </c>
      <c r="H27">
        <v>1604</v>
      </c>
      <c r="I27">
        <v>195688</v>
      </c>
      <c r="J27">
        <v>140270</v>
      </c>
      <c r="K27">
        <v>55418</v>
      </c>
      <c r="L27">
        <v>189965</v>
      </c>
      <c r="M27">
        <v>5723</v>
      </c>
      <c r="N27" t="s">
        <v>186</v>
      </c>
      <c r="O27" t="s">
        <v>331</v>
      </c>
    </row>
    <row r="28" spans="1:15" ht="15.75" customHeight="1" x14ac:dyDescent="0.2">
      <c r="A28" t="s">
        <v>364</v>
      </c>
      <c r="B28" t="s">
        <v>338</v>
      </c>
      <c r="C28" t="s">
        <v>348</v>
      </c>
      <c r="D28" t="s">
        <v>336</v>
      </c>
      <c r="E28" t="s">
        <v>82</v>
      </c>
      <c r="F28" t="s">
        <v>356</v>
      </c>
      <c r="G28">
        <v>123</v>
      </c>
      <c r="H28">
        <v>628</v>
      </c>
      <c r="I28">
        <v>77244</v>
      </c>
      <c r="J28">
        <v>45912</v>
      </c>
      <c r="K28">
        <v>31332</v>
      </c>
      <c r="L28">
        <v>87443</v>
      </c>
      <c r="M28">
        <v>-10199</v>
      </c>
      <c r="N28" t="s">
        <v>186</v>
      </c>
      <c r="O28" t="s">
        <v>331</v>
      </c>
    </row>
    <row r="29" spans="1:15" ht="15.75" customHeight="1" x14ac:dyDescent="0.2">
      <c r="A29" t="s">
        <v>365</v>
      </c>
      <c r="B29" t="s">
        <v>338</v>
      </c>
      <c r="C29" t="s">
        <v>348</v>
      </c>
      <c r="D29" t="s">
        <v>317</v>
      </c>
      <c r="E29" t="s">
        <v>318</v>
      </c>
      <c r="F29" t="s">
        <v>356</v>
      </c>
      <c r="G29">
        <v>361</v>
      </c>
      <c r="H29">
        <v>119</v>
      </c>
      <c r="I29">
        <v>42959</v>
      </c>
      <c r="J29">
        <v>22493</v>
      </c>
      <c r="K29">
        <v>20466</v>
      </c>
      <c r="L29">
        <v>31915</v>
      </c>
      <c r="M29">
        <v>11044</v>
      </c>
      <c r="N29" t="s">
        <v>186</v>
      </c>
      <c r="O29" t="s">
        <v>331</v>
      </c>
    </row>
    <row r="30" spans="1:15" ht="15.75" customHeight="1" x14ac:dyDescent="0.2">
      <c r="A30" t="s">
        <v>366</v>
      </c>
      <c r="B30" t="s">
        <v>328</v>
      </c>
      <c r="C30" t="s">
        <v>367</v>
      </c>
      <c r="D30" t="s">
        <v>346</v>
      </c>
      <c r="E30" t="s">
        <v>325</v>
      </c>
      <c r="F30" t="s">
        <v>199</v>
      </c>
      <c r="G30">
        <v>132</v>
      </c>
      <c r="H30">
        <v>789</v>
      </c>
      <c r="I30">
        <v>104148</v>
      </c>
      <c r="J30">
        <v>70585</v>
      </c>
      <c r="K30">
        <v>33563</v>
      </c>
      <c r="L30">
        <v>98427</v>
      </c>
      <c r="M30">
        <v>5721</v>
      </c>
      <c r="N30" t="s">
        <v>322</v>
      </c>
      <c r="O30" t="s">
        <v>320</v>
      </c>
    </row>
    <row r="31" spans="1:15" ht="15.75" customHeight="1" x14ac:dyDescent="0.2">
      <c r="A31" t="s">
        <v>368</v>
      </c>
      <c r="B31" t="s">
        <v>338</v>
      </c>
      <c r="C31" t="s">
        <v>339</v>
      </c>
      <c r="D31" t="s">
        <v>340</v>
      </c>
      <c r="E31" t="s">
        <v>82</v>
      </c>
      <c r="F31" t="s">
        <v>199</v>
      </c>
      <c r="G31">
        <v>15</v>
      </c>
      <c r="H31">
        <v>1901</v>
      </c>
      <c r="I31">
        <v>28515</v>
      </c>
      <c r="J31">
        <v>19029</v>
      </c>
      <c r="K31">
        <v>9486</v>
      </c>
      <c r="L31">
        <v>44094</v>
      </c>
      <c r="M31">
        <v>-15579</v>
      </c>
      <c r="N31" t="s">
        <v>341</v>
      </c>
      <c r="O31" t="s">
        <v>331</v>
      </c>
    </row>
    <row r="32" spans="1:15" ht="15.75" customHeight="1" x14ac:dyDescent="0.2">
      <c r="A32" t="s">
        <v>369</v>
      </c>
      <c r="B32" t="s">
        <v>338</v>
      </c>
      <c r="C32" t="s">
        <v>339</v>
      </c>
      <c r="D32" t="s">
        <v>307</v>
      </c>
      <c r="E32" t="s">
        <v>318</v>
      </c>
      <c r="F32" t="s">
        <v>81</v>
      </c>
      <c r="G32">
        <v>24</v>
      </c>
      <c r="H32">
        <v>1707</v>
      </c>
      <c r="I32">
        <v>40968</v>
      </c>
      <c r="J32">
        <v>24651</v>
      </c>
      <c r="K32">
        <v>16317</v>
      </c>
      <c r="L32">
        <v>21660</v>
      </c>
      <c r="M32">
        <v>19308</v>
      </c>
      <c r="N32" t="s">
        <v>319</v>
      </c>
      <c r="O32" t="s">
        <v>189</v>
      </c>
    </row>
    <row r="33" spans="1:15" ht="15.75" customHeight="1" x14ac:dyDescent="0.2">
      <c r="A33" t="s">
        <v>174</v>
      </c>
      <c r="B33" t="s">
        <v>263</v>
      </c>
      <c r="C33" t="s">
        <v>354</v>
      </c>
      <c r="D33" t="s">
        <v>84</v>
      </c>
      <c r="E33" t="s">
        <v>318</v>
      </c>
      <c r="F33" t="s">
        <v>356</v>
      </c>
      <c r="G33">
        <v>276</v>
      </c>
      <c r="H33">
        <v>1742</v>
      </c>
      <c r="I33">
        <v>480792</v>
      </c>
      <c r="J33">
        <v>337439</v>
      </c>
      <c r="K33">
        <v>143353</v>
      </c>
      <c r="L33">
        <v>476139</v>
      </c>
      <c r="M33">
        <v>4653</v>
      </c>
      <c r="N33" t="s">
        <v>341</v>
      </c>
      <c r="O33" t="s">
        <v>189</v>
      </c>
    </row>
    <row r="34" spans="1:15" ht="15.75" customHeight="1" x14ac:dyDescent="0.2">
      <c r="A34" t="s">
        <v>232</v>
      </c>
      <c r="B34" t="s">
        <v>263</v>
      </c>
      <c r="C34" t="s">
        <v>280</v>
      </c>
      <c r="D34" t="s">
        <v>307</v>
      </c>
      <c r="E34" t="s">
        <v>82</v>
      </c>
      <c r="F34" t="s">
        <v>199</v>
      </c>
      <c r="G34">
        <v>311</v>
      </c>
      <c r="H34">
        <v>1883</v>
      </c>
      <c r="I34">
        <v>585613</v>
      </c>
      <c r="J34">
        <v>299886</v>
      </c>
      <c r="K34">
        <v>285727</v>
      </c>
      <c r="L34">
        <v>592238</v>
      </c>
      <c r="M34">
        <v>-6625</v>
      </c>
      <c r="N34" t="s">
        <v>322</v>
      </c>
      <c r="O34" t="s">
        <v>320</v>
      </c>
    </row>
    <row r="35" spans="1:15" ht="15.75" customHeight="1" x14ac:dyDescent="0.2">
      <c r="A35" t="s">
        <v>235</v>
      </c>
      <c r="B35" t="s">
        <v>333</v>
      </c>
      <c r="C35" t="s">
        <v>370</v>
      </c>
      <c r="D35" t="s">
        <v>69</v>
      </c>
      <c r="E35" t="s">
        <v>82</v>
      </c>
      <c r="F35" t="s">
        <v>199</v>
      </c>
      <c r="G35">
        <v>419</v>
      </c>
      <c r="H35">
        <v>1269</v>
      </c>
      <c r="I35">
        <v>531711</v>
      </c>
      <c r="J35">
        <v>278687</v>
      </c>
      <c r="K35">
        <v>253024</v>
      </c>
      <c r="L35">
        <v>512526</v>
      </c>
      <c r="M35">
        <v>19185</v>
      </c>
      <c r="N35" t="s">
        <v>186</v>
      </c>
      <c r="O35" t="s">
        <v>326</v>
      </c>
    </row>
    <row r="36" spans="1:15" ht="15.75" customHeight="1" x14ac:dyDescent="0.2">
      <c r="A36" t="s">
        <v>162</v>
      </c>
      <c r="B36" t="s">
        <v>328</v>
      </c>
      <c r="C36" t="s">
        <v>283</v>
      </c>
      <c r="D36" t="s">
        <v>371</v>
      </c>
      <c r="E36" t="s">
        <v>325</v>
      </c>
      <c r="F36" t="s">
        <v>92</v>
      </c>
      <c r="G36">
        <v>362</v>
      </c>
      <c r="H36">
        <v>255</v>
      </c>
      <c r="I36">
        <v>92310</v>
      </c>
      <c r="J36">
        <v>74680</v>
      </c>
      <c r="K36">
        <v>17630</v>
      </c>
      <c r="L36">
        <v>80983</v>
      </c>
      <c r="M36">
        <v>11327</v>
      </c>
      <c r="N36" t="s">
        <v>341</v>
      </c>
      <c r="O36" t="s">
        <v>331</v>
      </c>
    </row>
    <row r="37" spans="1:15" ht="15.75" customHeight="1" x14ac:dyDescent="0.2">
      <c r="A37" t="s">
        <v>296</v>
      </c>
      <c r="B37" t="s">
        <v>338</v>
      </c>
      <c r="C37" t="s">
        <v>350</v>
      </c>
      <c r="D37" t="s">
        <v>340</v>
      </c>
      <c r="E37" t="s">
        <v>71</v>
      </c>
      <c r="F37" t="s">
        <v>92</v>
      </c>
      <c r="G37">
        <v>227</v>
      </c>
      <c r="H37">
        <v>138</v>
      </c>
      <c r="I37">
        <v>31326</v>
      </c>
      <c r="J37">
        <v>17817</v>
      </c>
      <c r="K37">
        <v>13509</v>
      </c>
      <c r="L37">
        <v>33365</v>
      </c>
      <c r="M37">
        <v>-2039</v>
      </c>
      <c r="N37" t="s">
        <v>322</v>
      </c>
      <c r="O37" t="s">
        <v>320</v>
      </c>
    </row>
    <row r="38" spans="1:15" ht="15.75" customHeight="1" x14ac:dyDescent="0.2">
      <c r="A38" t="s">
        <v>239</v>
      </c>
      <c r="B38" t="s">
        <v>263</v>
      </c>
      <c r="C38" t="s">
        <v>280</v>
      </c>
      <c r="D38" t="s">
        <v>308</v>
      </c>
      <c r="E38" t="s">
        <v>325</v>
      </c>
      <c r="F38" t="s">
        <v>81</v>
      </c>
      <c r="G38">
        <v>73</v>
      </c>
      <c r="H38">
        <v>1948</v>
      </c>
      <c r="I38">
        <v>142204</v>
      </c>
      <c r="J38">
        <v>105255</v>
      </c>
      <c r="K38">
        <v>36949</v>
      </c>
      <c r="L38">
        <v>160333</v>
      </c>
      <c r="M38">
        <v>-18129</v>
      </c>
      <c r="N38" t="s">
        <v>186</v>
      </c>
      <c r="O38" t="s">
        <v>331</v>
      </c>
    </row>
    <row r="39" spans="1:15" ht="15.75" customHeight="1" x14ac:dyDescent="0.2">
      <c r="A39" t="s">
        <v>290</v>
      </c>
      <c r="B39" t="s">
        <v>338</v>
      </c>
      <c r="C39" t="s">
        <v>339</v>
      </c>
      <c r="D39" t="s">
        <v>95</v>
      </c>
      <c r="E39" t="s">
        <v>325</v>
      </c>
      <c r="F39" t="s">
        <v>74</v>
      </c>
      <c r="G39">
        <v>412</v>
      </c>
      <c r="H39">
        <v>527</v>
      </c>
      <c r="I39">
        <v>217124</v>
      </c>
      <c r="J39">
        <v>111205</v>
      </c>
      <c r="K39">
        <v>105919</v>
      </c>
      <c r="L39">
        <v>206660</v>
      </c>
      <c r="M39">
        <v>10464</v>
      </c>
      <c r="N39" t="s">
        <v>319</v>
      </c>
      <c r="O39" t="s">
        <v>320</v>
      </c>
    </row>
    <row r="40" spans="1:15" ht="15.75" customHeight="1" x14ac:dyDescent="0.2">
      <c r="A40" t="s">
        <v>344</v>
      </c>
      <c r="B40" t="s">
        <v>328</v>
      </c>
      <c r="C40" t="s">
        <v>359</v>
      </c>
      <c r="D40" t="s">
        <v>355</v>
      </c>
      <c r="E40" t="s">
        <v>71</v>
      </c>
      <c r="F40" t="s">
        <v>199</v>
      </c>
      <c r="G40">
        <v>33</v>
      </c>
      <c r="H40">
        <v>1603</v>
      </c>
      <c r="I40">
        <v>52899</v>
      </c>
      <c r="J40">
        <v>26573</v>
      </c>
      <c r="K40">
        <v>26326</v>
      </c>
      <c r="L40">
        <v>35601</v>
      </c>
      <c r="M40">
        <v>17298</v>
      </c>
      <c r="N40" t="s">
        <v>322</v>
      </c>
      <c r="O40" t="s">
        <v>331</v>
      </c>
    </row>
    <row r="41" spans="1:15" ht="15.75" customHeight="1" x14ac:dyDescent="0.2">
      <c r="A41" t="s">
        <v>118</v>
      </c>
      <c r="B41" t="s">
        <v>263</v>
      </c>
      <c r="C41" t="s">
        <v>264</v>
      </c>
      <c r="D41" t="s">
        <v>77</v>
      </c>
      <c r="E41" t="s">
        <v>318</v>
      </c>
      <c r="F41" t="s">
        <v>81</v>
      </c>
      <c r="G41">
        <v>98</v>
      </c>
      <c r="H41">
        <v>1147</v>
      </c>
      <c r="I41">
        <v>112406</v>
      </c>
      <c r="J41">
        <v>59396</v>
      </c>
      <c r="K41">
        <v>53010</v>
      </c>
      <c r="L41">
        <v>109374</v>
      </c>
      <c r="M41">
        <v>3032</v>
      </c>
      <c r="N41" t="s">
        <v>322</v>
      </c>
      <c r="O41" t="s">
        <v>320</v>
      </c>
    </row>
    <row r="42" spans="1:15" ht="15.75" customHeight="1" x14ac:dyDescent="0.2">
      <c r="A42" t="s">
        <v>372</v>
      </c>
      <c r="B42" t="s">
        <v>271</v>
      </c>
      <c r="C42" t="s">
        <v>270</v>
      </c>
      <c r="D42" t="s">
        <v>336</v>
      </c>
      <c r="E42" t="s">
        <v>325</v>
      </c>
      <c r="F42" t="s">
        <v>199</v>
      </c>
      <c r="G42">
        <v>35</v>
      </c>
      <c r="H42">
        <v>813</v>
      </c>
      <c r="I42">
        <v>28455</v>
      </c>
      <c r="J42">
        <v>22002</v>
      </c>
      <c r="K42">
        <v>6453</v>
      </c>
      <c r="L42">
        <v>22990</v>
      </c>
      <c r="M42">
        <v>5465</v>
      </c>
      <c r="N42" t="s">
        <v>341</v>
      </c>
      <c r="O42" t="s">
        <v>331</v>
      </c>
    </row>
    <row r="43" spans="1:15" ht="15.75" customHeight="1" x14ac:dyDescent="0.2">
      <c r="A43" t="s">
        <v>373</v>
      </c>
      <c r="B43" t="s">
        <v>263</v>
      </c>
      <c r="C43" t="s">
        <v>276</v>
      </c>
      <c r="D43" t="s">
        <v>330</v>
      </c>
      <c r="E43" t="s">
        <v>71</v>
      </c>
      <c r="F43" t="s">
        <v>81</v>
      </c>
      <c r="G43">
        <v>168</v>
      </c>
      <c r="H43">
        <v>1604</v>
      </c>
      <c r="I43">
        <v>269472</v>
      </c>
      <c r="J43">
        <v>169062</v>
      </c>
      <c r="K43">
        <v>100410</v>
      </c>
      <c r="L43">
        <v>255598</v>
      </c>
      <c r="M43">
        <v>13874</v>
      </c>
      <c r="N43" t="s">
        <v>322</v>
      </c>
      <c r="O43" t="s">
        <v>320</v>
      </c>
    </row>
    <row r="44" spans="1:15" ht="15.75" customHeight="1" x14ac:dyDescent="0.2">
      <c r="A44" t="s">
        <v>163</v>
      </c>
      <c r="B44" t="s">
        <v>271</v>
      </c>
      <c r="C44" t="s">
        <v>309</v>
      </c>
      <c r="D44" t="s">
        <v>340</v>
      </c>
      <c r="E44" t="s">
        <v>82</v>
      </c>
      <c r="F44" t="s">
        <v>87</v>
      </c>
      <c r="G44">
        <v>10</v>
      </c>
      <c r="H44">
        <v>1917</v>
      </c>
      <c r="I44">
        <v>19170</v>
      </c>
      <c r="J44">
        <v>11707</v>
      </c>
      <c r="K44">
        <v>7463</v>
      </c>
      <c r="L44">
        <v>8657</v>
      </c>
      <c r="M44">
        <v>10513</v>
      </c>
      <c r="N44" t="s">
        <v>186</v>
      </c>
      <c r="O44" t="s">
        <v>189</v>
      </c>
    </row>
    <row r="45" spans="1:15" ht="15.75" customHeight="1" x14ac:dyDescent="0.2">
      <c r="A45" t="s">
        <v>374</v>
      </c>
      <c r="B45" t="s">
        <v>328</v>
      </c>
      <c r="C45" t="s">
        <v>359</v>
      </c>
      <c r="D45" t="s">
        <v>330</v>
      </c>
      <c r="E45" t="s">
        <v>82</v>
      </c>
      <c r="F45" t="s">
        <v>81</v>
      </c>
      <c r="G45">
        <v>299</v>
      </c>
      <c r="H45">
        <v>1001</v>
      </c>
      <c r="I45">
        <v>299299</v>
      </c>
      <c r="J45">
        <v>215774</v>
      </c>
      <c r="K45">
        <v>83525</v>
      </c>
      <c r="L45">
        <v>290167</v>
      </c>
      <c r="M45">
        <v>9132</v>
      </c>
      <c r="N45" t="s">
        <v>322</v>
      </c>
      <c r="O45" t="s">
        <v>320</v>
      </c>
    </row>
    <row r="46" spans="1:15" ht="15.75" customHeight="1" x14ac:dyDescent="0.2">
      <c r="A46" t="s">
        <v>375</v>
      </c>
      <c r="B46" t="s">
        <v>263</v>
      </c>
      <c r="C46" t="s">
        <v>280</v>
      </c>
      <c r="D46" t="s">
        <v>360</v>
      </c>
      <c r="E46" t="s">
        <v>82</v>
      </c>
      <c r="F46" t="s">
        <v>74</v>
      </c>
      <c r="G46">
        <v>243</v>
      </c>
      <c r="H46">
        <v>512</v>
      </c>
      <c r="I46">
        <v>124416</v>
      </c>
      <c r="J46">
        <v>104126</v>
      </c>
      <c r="K46">
        <v>20290</v>
      </c>
      <c r="L46">
        <v>107275</v>
      </c>
      <c r="M46">
        <v>17141</v>
      </c>
      <c r="N46" t="s">
        <v>322</v>
      </c>
      <c r="O46" t="s">
        <v>189</v>
      </c>
    </row>
    <row r="47" spans="1:15" ht="15.75" customHeight="1" x14ac:dyDescent="0.2">
      <c r="A47" t="s">
        <v>323</v>
      </c>
      <c r="B47" t="s">
        <v>333</v>
      </c>
      <c r="C47" t="s">
        <v>269</v>
      </c>
      <c r="D47" t="s">
        <v>355</v>
      </c>
      <c r="E47" t="s">
        <v>325</v>
      </c>
      <c r="F47" t="s">
        <v>74</v>
      </c>
      <c r="G47">
        <v>239</v>
      </c>
      <c r="H47">
        <v>126</v>
      </c>
      <c r="I47">
        <v>30114</v>
      </c>
      <c r="J47">
        <v>22140</v>
      </c>
      <c r="K47">
        <v>7974</v>
      </c>
      <c r="L47">
        <v>49975</v>
      </c>
      <c r="M47">
        <v>-19861</v>
      </c>
      <c r="N47" t="s">
        <v>322</v>
      </c>
      <c r="O47" t="s">
        <v>320</v>
      </c>
    </row>
    <row r="48" spans="1:15" ht="15.75" customHeight="1" x14ac:dyDescent="0.2">
      <c r="A48" t="s">
        <v>376</v>
      </c>
      <c r="B48" t="s">
        <v>271</v>
      </c>
      <c r="C48" t="s">
        <v>270</v>
      </c>
      <c r="D48" t="s">
        <v>330</v>
      </c>
      <c r="E48" t="s">
        <v>71</v>
      </c>
      <c r="F48" t="s">
        <v>74</v>
      </c>
      <c r="G48">
        <v>483</v>
      </c>
      <c r="H48">
        <v>1622</v>
      </c>
      <c r="I48">
        <v>783426</v>
      </c>
      <c r="J48">
        <v>416983</v>
      </c>
      <c r="K48">
        <v>366443</v>
      </c>
      <c r="L48">
        <v>788438</v>
      </c>
      <c r="M48">
        <v>-5012</v>
      </c>
      <c r="N48" t="s">
        <v>341</v>
      </c>
      <c r="O48" t="s">
        <v>320</v>
      </c>
    </row>
    <row r="49" spans="1:15" ht="15.75" customHeight="1" x14ac:dyDescent="0.2">
      <c r="A49" t="s">
        <v>165</v>
      </c>
      <c r="B49" t="s">
        <v>333</v>
      </c>
      <c r="C49" t="s">
        <v>269</v>
      </c>
      <c r="D49" t="s">
        <v>95</v>
      </c>
      <c r="E49" t="s">
        <v>71</v>
      </c>
      <c r="F49" t="s">
        <v>199</v>
      </c>
      <c r="G49">
        <v>370</v>
      </c>
      <c r="H49">
        <v>1419</v>
      </c>
      <c r="I49">
        <v>525030</v>
      </c>
      <c r="J49">
        <v>272414</v>
      </c>
      <c r="K49">
        <v>252616</v>
      </c>
      <c r="L49">
        <v>534620</v>
      </c>
      <c r="M49">
        <v>-9590</v>
      </c>
      <c r="N49" t="s">
        <v>319</v>
      </c>
      <c r="O49" t="s">
        <v>326</v>
      </c>
    </row>
    <row r="50" spans="1:15" ht="15.75" customHeight="1" x14ac:dyDescent="0.2">
      <c r="A50" t="s">
        <v>377</v>
      </c>
      <c r="B50" t="s">
        <v>333</v>
      </c>
      <c r="C50" t="s">
        <v>265</v>
      </c>
      <c r="D50" t="s">
        <v>355</v>
      </c>
      <c r="E50" t="s">
        <v>318</v>
      </c>
      <c r="F50" t="s">
        <v>87</v>
      </c>
      <c r="G50">
        <v>103</v>
      </c>
      <c r="H50">
        <v>1876</v>
      </c>
      <c r="I50">
        <v>193228</v>
      </c>
      <c r="J50">
        <v>123506</v>
      </c>
      <c r="K50">
        <v>69722</v>
      </c>
      <c r="L50">
        <v>204528</v>
      </c>
      <c r="M50">
        <v>-11300</v>
      </c>
      <c r="N50" t="s">
        <v>319</v>
      </c>
      <c r="O50" t="s">
        <v>331</v>
      </c>
    </row>
    <row r="51" spans="1:15" ht="15.75" customHeight="1" x14ac:dyDescent="0.2">
      <c r="A51" t="s">
        <v>67</v>
      </c>
      <c r="B51" t="s">
        <v>271</v>
      </c>
      <c r="C51" t="s">
        <v>272</v>
      </c>
      <c r="D51" t="s">
        <v>371</v>
      </c>
      <c r="E51" t="s">
        <v>325</v>
      </c>
      <c r="F51" t="s">
        <v>74</v>
      </c>
      <c r="G51">
        <v>17</v>
      </c>
      <c r="H51">
        <v>567</v>
      </c>
      <c r="I51">
        <v>9639</v>
      </c>
      <c r="J51">
        <v>6091</v>
      </c>
      <c r="K51">
        <v>3548</v>
      </c>
      <c r="L51">
        <v>-4784</v>
      </c>
      <c r="M51">
        <v>14423</v>
      </c>
      <c r="N51" t="s">
        <v>322</v>
      </c>
      <c r="O51" t="s">
        <v>326</v>
      </c>
    </row>
    <row r="52" spans="1:15" ht="15.75" customHeight="1" x14ac:dyDescent="0.2">
      <c r="A52" t="s">
        <v>377</v>
      </c>
      <c r="B52" t="s">
        <v>328</v>
      </c>
      <c r="C52" t="s">
        <v>329</v>
      </c>
      <c r="D52" t="s">
        <v>371</v>
      </c>
      <c r="E52" t="s">
        <v>82</v>
      </c>
      <c r="F52" t="s">
        <v>81</v>
      </c>
      <c r="G52">
        <v>114</v>
      </c>
      <c r="H52">
        <v>1037</v>
      </c>
      <c r="I52">
        <v>118218</v>
      </c>
      <c r="J52">
        <v>71501</v>
      </c>
      <c r="K52">
        <v>46717</v>
      </c>
      <c r="L52">
        <v>102233</v>
      </c>
      <c r="M52">
        <v>15985</v>
      </c>
      <c r="N52" t="s">
        <v>319</v>
      </c>
      <c r="O52" t="s">
        <v>331</v>
      </c>
    </row>
    <row r="53" spans="1:15" ht="15.75" customHeight="1" x14ac:dyDescent="0.2">
      <c r="A53" t="s">
        <v>378</v>
      </c>
      <c r="B53" t="s">
        <v>271</v>
      </c>
      <c r="C53" t="s">
        <v>270</v>
      </c>
      <c r="D53" t="s">
        <v>84</v>
      </c>
      <c r="E53" t="s">
        <v>71</v>
      </c>
      <c r="F53" t="s">
        <v>306</v>
      </c>
      <c r="G53">
        <v>164</v>
      </c>
      <c r="H53">
        <v>1300</v>
      </c>
      <c r="I53">
        <v>213200</v>
      </c>
      <c r="J53">
        <v>145792</v>
      </c>
      <c r="K53">
        <v>67408</v>
      </c>
      <c r="L53">
        <v>228672</v>
      </c>
      <c r="M53">
        <v>-15472</v>
      </c>
      <c r="N53" t="s">
        <v>319</v>
      </c>
      <c r="O53" t="s">
        <v>320</v>
      </c>
    </row>
    <row r="54" spans="1:15" ht="15.75" customHeight="1" x14ac:dyDescent="0.2">
      <c r="A54" t="s">
        <v>243</v>
      </c>
      <c r="B54" t="s">
        <v>263</v>
      </c>
      <c r="C54" t="s">
        <v>264</v>
      </c>
      <c r="D54" t="s">
        <v>73</v>
      </c>
      <c r="E54" t="s">
        <v>82</v>
      </c>
      <c r="F54" t="s">
        <v>74</v>
      </c>
      <c r="G54">
        <v>481</v>
      </c>
      <c r="H54">
        <v>974</v>
      </c>
      <c r="I54">
        <v>468494</v>
      </c>
      <c r="J54">
        <v>364375</v>
      </c>
      <c r="K54">
        <v>104119</v>
      </c>
      <c r="L54">
        <v>484291</v>
      </c>
      <c r="M54">
        <v>-15797</v>
      </c>
      <c r="N54" t="s">
        <v>186</v>
      </c>
      <c r="O54" t="s">
        <v>331</v>
      </c>
    </row>
    <row r="55" spans="1:15" ht="15.75" customHeight="1" x14ac:dyDescent="0.2">
      <c r="A55" t="s">
        <v>351</v>
      </c>
      <c r="B55" t="s">
        <v>328</v>
      </c>
      <c r="C55" t="s">
        <v>367</v>
      </c>
      <c r="D55" t="s">
        <v>307</v>
      </c>
      <c r="E55" t="s">
        <v>325</v>
      </c>
      <c r="F55" t="s">
        <v>199</v>
      </c>
      <c r="G55">
        <v>93</v>
      </c>
      <c r="H55">
        <v>1406</v>
      </c>
      <c r="I55">
        <v>130758</v>
      </c>
      <c r="J55">
        <v>88718</v>
      </c>
      <c r="K55">
        <v>42040</v>
      </c>
      <c r="L55">
        <v>112988</v>
      </c>
      <c r="M55">
        <v>17770</v>
      </c>
      <c r="N55" t="s">
        <v>341</v>
      </c>
      <c r="O55" t="s">
        <v>331</v>
      </c>
    </row>
    <row r="56" spans="1:15" ht="15.75" customHeight="1" x14ac:dyDescent="0.2">
      <c r="A56" t="s">
        <v>379</v>
      </c>
      <c r="B56" t="s">
        <v>263</v>
      </c>
      <c r="C56" t="s">
        <v>264</v>
      </c>
      <c r="D56" t="s">
        <v>273</v>
      </c>
      <c r="E56" t="s">
        <v>318</v>
      </c>
      <c r="F56" t="s">
        <v>306</v>
      </c>
      <c r="G56">
        <v>130</v>
      </c>
      <c r="H56">
        <v>152</v>
      </c>
      <c r="I56">
        <v>19760</v>
      </c>
      <c r="J56">
        <v>15318</v>
      </c>
      <c r="K56">
        <v>4442</v>
      </c>
      <c r="L56">
        <v>5972</v>
      </c>
      <c r="M56">
        <v>13788</v>
      </c>
      <c r="N56" t="s">
        <v>322</v>
      </c>
      <c r="O56" t="s">
        <v>320</v>
      </c>
    </row>
    <row r="57" spans="1:15" ht="15.75" customHeight="1" x14ac:dyDescent="0.2">
      <c r="A57" t="s">
        <v>128</v>
      </c>
      <c r="B57" t="s">
        <v>338</v>
      </c>
      <c r="C57" t="s">
        <v>348</v>
      </c>
      <c r="D57" t="s">
        <v>360</v>
      </c>
      <c r="E57" t="s">
        <v>318</v>
      </c>
      <c r="F57" t="s">
        <v>306</v>
      </c>
      <c r="G57">
        <v>70</v>
      </c>
      <c r="H57">
        <v>392</v>
      </c>
      <c r="I57">
        <v>27440</v>
      </c>
      <c r="J57">
        <v>14277</v>
      </c>
      <c r="K57">
        <v>13163</v>
      </c>
      <c r="L57">
        <v>38226</v>
      </c>
      <c r="M57">
        <v>-10786</v>
      </c>
      <c r="N57" t="s">
        <v>341</v>
      </c>
      <c r="O57" t="s">
        <v>320</v>
      </c>
    </row>
    <row r="58" spans="1:15" ht="15.75" customHeight="1" x14ac:dyDescent="0.2">
      <c r="A58" t="s">
        <v>83</v>
      </c>
      <c r="B58" t="s">
        <v>338</v>
      </c>
      <c r="C58" t="s">
        <v>339</v>
      </c>
      <c r="D58" t="s">
        <v>308</v>
      </c>
      <c r="E58" t="s">
        <v>82</v>
      </c>
      <c r="F58" t="s">
        <v>356</v>
      </c>
      <c r="G58">
        <v>155</v>
      </c>
      <c r="H58">
        <v>1007</v>
      </c>
      <c r="I58">
        <v>156085</v>
      </c>
      <c r="J58">
        <v>123657</v>
      </c>
      <c r="K58">
        <v>32428</v>
      </c>
      <c r="L58">
        <v>163058</v>
      </c>
      <c r="M58">
        <v>-6973</v>
      </c>
      <c r="N58" t="s">
        <v>341</v>
      </c>
      <c r="O58" t="s">
        <v>331</v>
      </c>
    </row>
    <row r="59" spans="1:15" ht="15.75" customHeight="1" x14ac:dyDescent="0.2">
      <c r="A59" t="s">
        <v>380</v>
      </c>
      <c r="B59" t="s">
        <v>328</v>
      </c>
      <c r="C59" t="s">
        <v>283</v>
      </c>
      <c r="D59" t="s">
        <v>308</v>
      </c>
      <c r="E59" t="s">
        <v>325</v>
      </c>
      <c r="F59" t="s">
        <v>74</v>
      </c>
      <c r="G59">
        <v>447</v>
      </c>
      <c r="H59">
        <v>175</v>
      </c>
      <c r="I59">
        <v>78225</v>
      </c>
      <c r="J59">
        <v>56487</v>
      </c>
      <c r="K59">
        <v>21738</v>
      </c>
      <c r="L59">
        <v>89067</v>
      </c>
      <c r="M59">
        <v>-10842</v>
      </c>
      <c r="N59" t="s">
        <v>341</v>
      </c>
      <c r="O59" t="s">
        <v>189</v>
      </c>
    </row>
    <row r="60" spans="1:15" ht="15.75" customHeight="1" x14ac:dyDescent="0.2">
      <c r="A60" t="s">
        <v>381</v>
      </c>
      <c r="B60" t="s">
        <v>328</v>
      </c>
      <c r="C60" t="s">
        <v>329</v>
      </c>
      <c r="D60" t="s">
        <v>273</v>
      </c>
      <c r="E60" t="s">
        <v>82</v>
      </c>
      <c r="F60" t="s">
        <v>87</v>
      </c>
      <c r="G60">
        <v>309</v>
      </c>
      <c r="H60">
        <v>1505</v>
      </c>
      <c r="I60">
        <v>465045</v>
      </c>
      <c r="J60">
        <v>386242</v>
      </c>
      <c r="K60">
        <v>78803</v>
      </c>
      <c r="L60">
        <v>460081</v>
      </c>
      <c r="M60">
        <v>4964</v>
      </c>
      <c r="N60" t="s">
        <v>186</v>
      </c>
      <c r="O60" t="s">
        <v>189</v>
      </c>
    </row>
    <row r="61" spans="1:15" ht="15.75" customHeight="1" x14ac:dyDescent="0.2">
      <c r="A61" t="s">
        <v>382</v>
      </c>
      <c r="B61" t="s">
        <v>333</v>
      </c>
      <c r="C61" t="s">
        <v>383</v>
      </c>
      <c r="D61" t="s">
        <v>324</v>
      </c>
      <c r="E61" t="s">
        <v>318</v>
      </c>
      <c r="F61" t="s">
        <v>74</v>
      </c>
      <c r="G61">
        <v>73</v>
      </c>
      <c r="H61">
        <v>659</v>
      </c>
      <c r="I61">
        <v>48107</v>
      </c>
      <c r="J61">
        <v>32838</v>
      </c>
      <c r="K61">
        <v>15269</v>
      </c>
      <c r="L61">
        <v>49755</v>
      </c>
      <c r="M61">
        <v>-1648</v>
      </c>
      <c r="N61" t="s">
        <v>341</v>
      </c>
      <c r="O61" t="s">
        <v>326</v>
      </c>
    </row>
    <row r="62" spans="1:15" ht="15.75" customHeight="1" x14ac:dyDescent="0.2">
      <c r="A62" t="s">
        <v>344</v>
      </c>
      <c r="B62" t="s">
        <v>263</v>
      </c>
      <c r="C62" t="s">
        <v>347</v>
      </c>
      <c r="D62" t="s">
        <v>324</v>
      </c>
      <c r="E62" t="s">
        <v>325</v>
      </c>
      <c r="F62" t="s">
        <v>92</v>
      </c>
      <c r="G62">
        <v>37</v>
      </c>
      <c r="H62">
        <v>1225</v>
      </c>
      <c r="I62">
        <v>45325</v>
      </c>
      <c r="J62">
        <v>30556</v>
      </c>
      <c r="K62">
        <v>14769</v>
      </c>
      <c r="L62">
        <v>33825</v>
      </c>
      <c r="M62">
        <v>11500</v>
      </c>
      <c r="N62" t="s">
        <v>322</v>
      </c>
      <c r="O62" t="s">
        <v>331</v>
      </c>
    </row>
    <row r="63" spans="1:15" ht="15.75" customHeight="1" x14ac:dyDescent="0.2">
      <c r="A63" t="s">
        <v>217</v>
      </c>
      <c r="B63" t="s">
        <v>263</v>
      </c>
      <c r="C63" t="s">
        <v>347</v>
      </c>
      <c r="D63" t="s">
        <v>324</v>
      </c>
      <c r="E63" t="s">
        <v>325</v>
      </c>
      <c r="F63" t="s">
        <v>356</v>
      </c>
      <c r="G63">
        <v>5</v>
      </c>
      <c r="H63">
        <v>1965</v>
      </c>
      <c r="I63">
        <v>9825</v>
      </c>
      <c r="J63">
        <v>8326</v>
      </c>
      <c r="K63">
        <v>1499</v>
      </c>
      <c r="L63">
        <v>-5970</v>
      </c>
      <c r="M63">
        <v>15795</v>
      </c>
      <c r="N63" t="s">
        <v>341</v>
      </c>
      <c r="O63" t="s">
        <v>331</v>
      </c>
    </row>
    <row r="64" spans="1:15" ht="15.75" customHeight="1" x14ac:dyDescent="0.2">
      <c r="A64" t="s">
        <v>246</v>
      </c>
      <c r="B64" t="s">
        <v>328</v>
      </c>
      <c r="C64" t="s">
        <v>329</v>
      </c>
      <c r="D64" t="s">
        <v>335</v>
      </c>
      <c r="E64" t="s">
        <v>318</v>
      </c>
      <c r="F64" t="s">
        <v>81</v>
      </c>
      <c r="G64">
        <v>474</v>
      </c>
      <c r="H64">
        <v>474</v>
      </c>
      <c r="I64">
        <v>224676</v>
      </c>
      <c r="J64">
        <v>116869</v>
      </c>
      <c r="K64">
        <v>107807</v>
      </c>
      <c r="L64">
        <v>214438</v>
      </c>
      <c r="M64">
        <v>10238</v>
      </c>
      <c r="N64" t="s">
        <v>322</v>
      </c>
      <c r="O64" t="s">
        <v>326</v>
      </c>
    </row>
    <row r="65" spans="1:15" ht="15.75" customHeight="1" x14ac:dyDescent="0.2">
      <c r="A65" t="s">
        <v>384</v>
      </c>
      <c r="B65" t="s">
        <v>271</v>
      </c>
      <c r="C65" t="s">
        <v>270</v>
      </c>
      <c r="D65" t="s">
        <v>273</v>
      </c>
      <c r="E65" t="s">
        <v>82</v>
      </c>
      <c r="F65" t="s">
        <v>356</v>
      </c>
      <c r="G65">
        <v>329</v>
      </c>
      <c r="H65">
        <v>1326</v>
      </c>
      <c r="I65">
        <v>436254</v>
      </c>
      <c r="J65">
        <v>257077</v>
      </c>
      <c r="K65">
        <v>179177</v>
      </c>
      <c r="L65">
        <v>454794</v>
      </c>
      <c r="M65">
        <v>-18540</v>
      </c>
      <c r="N65" t="s">
        <v>186</v>
      </c>
      <c r="O65" t="s">
        <v>320</v>
      </c>
    </row>
    <row r="66" spans="1:15" ht="15.75" customHeight="1" x14ac:dyDescent="0.2">
      <c r="A66" t="s">
        <v>385</v>
      </c>
      <c r="B66" t="s">
        <v>333</v>
      </c>
      <c r="C66" t="s">
        <v>269</v>
      </c>
      <c r="D66" t="s">
        <v>77</v>
      </c>
      <c r="E66" t="s">
        <v>82</v>
      </c>
      <c r="F66" t="s">
        <v>306</v>
      </c>
      <c r="G66">
        <v>480</v>
      </c>
      <c r="H66">
        <v>965</v>
      </c>
      <c r="I66">
        <v>463200</v>
      </c>
      <c r="J66">
        <v>233544</v>
      </c>
      <c r="K66">
        <v>229656</v>
      </c>
      <c r="L66">
        <v>466319</v>
      </c>
      <c r="M66">
        <v>-3119</v>
      </c>
      <c r="N66" t="s">
        <v>319</v>
      </c>
      <c r="O66" t="s">
        <v>326</v>
      </c>
    </row>
    <row r="67" spans="1:15" ht="15.75" customHeight="1" x14ac:dyDescent="0.2">
      <c r="A67" t="s">
        <v>386</v>
      </c>
      <c r="B67" t="s">
        <v>271</v>
      </c>
      <c r="C67" t="s">
        <v>270</v>
      </c>
      <c r="D67" t="s">
        <v>330</v>
      </c>
      <c r="E67" t="s">
        <v>71</v>
      </c>
      <c r="F67" t="s">
        <v>306</v>
      </c>
      <c r="G67">
        <v>211</v>
      </c>
      <c r="H67">
        <v>232</v>
      </c>
      <c r="I67">
        <v>48952</v>
      </c>
      <c r="J67">
        <v>32390</v>
      </c>
      <c r="K67">
        <v>16562</v>
      </c>
      <c r="L67">
        <v>51383</v>
      </c>
      <c r="M67">
        <v>-2431</v>
      </c>
      <c r="N67" t="s">
        <v>319</v>
      </c>
      <c r="O67" t="s">
        <v>331</v>
      </c>
    </row>
    <row r="68" spans="1:15" ht="15.75" customHeight="1" x14ac:dyDescent="0.2">
      <c r="A68" t="s">
        <v>109</v>
      </c>
      <c r="B68" t="s">
        <v>338</v>
      </c>
      <c r="C68" t="s">
        <v>348</v>
      </c>
      <c r="D68" t="s">
        <v>308</v>
      </c>
      <c r="E68" t="s">
        <v>325</v>
      </c>
      <c r="F68" t="s">
        <v>306</v>
      </c>
      <c r="G68">
        <v>178</v>
      </c>
      <c r="H68">
        <v>1794</v>
      </c>
      <c r="I68">
        <v>319332</v>
      </c>
      <c r="J68">
        <v>188478</v>
      </c>
      <c r="K68">
        <v>130854</v>
      </c>
      <c r="L68">
        <v>310166</v>
      </c>
      <c r="M68">
        <v>9166</v>
      </c>
      <c r="N68" t="s">
        <v>322</v>
      </c>
      <c r="O68" t="s">
        <v>326</v>
      </c>
    </row>
    <row r="69" spans="1:15" ht="15.75" customHeight="1" x14ac:dyDescent="0.2">
      <c r="A69" t="s">
        <v>211</v>
      </c>
      <c r="B69" t="s">
        <v>263</v>
      </c>
      <c r="C69" t="s">
        <v>264</v>
      </c>
      <c r="D69" t="s">
        <v>73</v>
      </c>
      <c r="E69" t="s">
        <v>82</v>
      </c>
      <c r="F69" t="s">
        <v>87</v>
      </c>
      <c r="G69">
        <v>347</v>
      </c>
      <c r="H69">
        <v>252</v>
      </c>
      <c r="I69">
        <v>87444</v>
      </c>
      <c r="J69">
        <v>67466</v>
      </c>
      <c r="K69">
        <v>19978</v>
      </c>
      <c r="L69">
        <v>94973</v>
      </c>
      <c r="M69">
        <v>-7529</v>
      </c>
      <c r="N69" t="s">
        <v>322</v>
      </c>
      <c r="O69" t="s">
        <v>331</v>
      </c>
    </row>
    <row r="70" spans="1:15" ht="15.75" customHeight="1" x14ac:dyDescent="0.2">
      <c r="A70" t="s">
        <v>295</v>
      </c>
      <c r="B70" t="s">
        <v>338</v>
      </c>
      <c r="C70" t="s">
        <v>350</v>
      </c>
      <c r="D70" t="s">
        <v>84</v>
      </c>
      <c r="E70" t="s">
        <v>318</v>
      </c>
      <c r="F70" t="s">
        <v>92</v>
      </c>
      <c r="G70">
        <v>154</v>
      </c>
      <c r="H70">
        <v>1179</v>
      </c>
      <c r="I70">
        <v>181566</v>
      </c>
      <c r="J70">
        <v>91900</v>
      </c>
      <c r="K70">
        <v>89666</v>
      </c>
      <c r="L70">
        <v>191308</v>
      </c>
      <c r="M70">
        <v>-9742</v>
      </c>
      <c r="N70" t="s">
        <v>322</v>
      </c>
      <c r="O70" t="s">
        <v>320</v>
      </c>
    </row>
    <row r="71" spans="1:15" ht="15.75" customHeight="1" x14ac:dyDescent="0.2">
      <c r="A71" t="s">
        <v>387</v>
      </c>
      <c r="B71" t="s">
        <v>328</v>
      </c>
      <c r="C71" t="s">
        <v>359</v>
      </c>
      <c r="D71" t="s">
        <v>360</v>
      </c>
      <c r="E71" t="s">
        <v>318</v>
      </c>
      <c r="F71" t="s">
        <v>74</v>
      </c>
      <c r="G71">
        <v>103</v>
      </c>
      <c r="H71">
        <v>160</v>
      </c>
      <c r="I71">
        <v>16480</v>
      </c>
      <c r="J71">
        <v>13061</v>
      </c>
      <c r="K71">
        <v>3419</v>
      </c>
      <c r="L71">
        <v>8134</v>
      </c>
      <c r="M71">
        <v>8346</v>
      </c>
      <c r="N71" t="s">
        <v>319</v>
      </c>
      <c r="O71" t="s">
        <v>320</v>
      </c>
    </row>
    <row r="72" spans="1:15" ht="15.75" customHeight="1" x14ac:dyDescent="0.2">
      <c r="A72" t="s">
        <v>137</v>
      </c>
      <c r="B72" t="s">
        <v>338</v>
      </c>
      <c r="C72" t="s">
        <v>339</v>
      </c>
      <c r="D72" t="s">
        <v>336</v>
      </c>
      <c r="E72" t="s">
        <v>318</v>
      </c>
      <c r="F72" t="s">
        <v>87</v>
      </c>
      <c r="G72">
        <v>302</v>
      </c>
      <c r="H72">
        <v>755</v>
      </c>
      <c r="I72">
        <v>228010</v>
      </c>
      <c r="J72">
        <v>188222</v>
      </c>
      <c r="K72">
        <v>39788</v>
      </c>
      <c r="L72">
        <v>224589</v>
      </c>
      <c r="M72">
        <v>3421</v>
      </c>
      <c r="N72" t="s">
        <v>341</v>
      </c>
      <c r="O72" t="s">
        <v>189</v>
      </c>
    </row>
    <row r="73" spans="1:15" ht="15.75" customHeight="1" x14ac:dyDescent="0.2">
      <c r="A73" t="s">
        <v>388</v>
      </c>
      <c r="B73" t="s">
        <v>338</v>
      </c>
      <c r="C73" t="s">
        <v>350</v>
      </c>
      <c r="D73" t="s">
        <v>355</v>
      </c>
      <c r="E73" t="s">
        <v>318</v>
      </c>
      <c r="F73" t="s">
        <v>70</v>
      </c>
      <c r="G73">
        <v>411</v>
      </c>
      <c r="H73">
        <v>1422</v>
      </c>
      <c r="I73">
        <v>584442</v>
      </c>
      <c r="J73">
        <v>333112</v>
      </c>
      <c r="K73">
        <v>251330</v>
      </c>
      <c r="L73">
        <v>568757</v>
      </c>
      <c r="M73">
        <v>15685</v>
      </c>
      <c r="N73" t="s">
        <v>341</v>
      </c>
      <c r="O73" t="s">
        <v>189</v>
      </c>
    </row>
    <row r="74" spans="1:15" ht="15.75" customHeight="1" x14ac:dyDescent="0.2">
      <c r="A74" t="s">
        <v>173</v>
      </c>
      <c r="B74" t="s">
        <v>328</v>
      </c>
      <c r="C74" t="s">
        <v>367</v>
      </c>
      <c r="D74" t="s">
        <v>95</v>
      </c>
      <c r="E74" t="s">
        <v>71</v>
      </c>
      <c r="F74" t="s">
        <v>306</v>
      </c>
      <c r="G74">
        <v>49</v>
      </c>
      <c r="H74">
        <v>1413</v>
      </c>
      <c r="I74">
        <v>69237</v>
      </c>
      <c r="J74">
        <v>45832</v>
      </c>
      <c r="K74">
        <v>23405</v>
      </c>
      <c r="L74">
        <v>82669</v>
      </c>
      <c r="M74">
        <v>-13432</v>
      </c>
      <c r="N74" t="s">
        <v>341</v>
      </c>
      <c r="O74" t="s">
        <v>326</v>
      </c>
    </row>
    <row r="75" spans="1:15" ht="15.75" customHeight="1" x14ac:dyDescent="0.2">
      <c r="A75" t="s">
        <v>209</v>
      </c>
      <c r="B75" t="s">
        <v>338</v>
      </c>
      <c r="C75" t="s">
        <v>348</v>
      </c>
      <c r="D75" t="s">
        <v>273</v>
      </c>
      <c r="E75" t="s">
        <v>325</v>
      </c>
      <c r="F75" t="s">
        <v>92</v>
      </c>
      <c r="G75">
        <v>103</v>
      </c>
      <c r="H75">
        <v>962</v>
      </c>
      <c r="I75">
        <v>99086</v>
      </c>
      <c r="J75">
        <v>83883</v>
      </c>
      <c r="K75">
        <v>15203</v>
      </c>
      <c r="L75">
        <v>86052</v>
      </c>
      <c r="M75">
        <v>13034</v>
      </c>
      <c r="N75" t="s">
        <v>319</v>
      </c>
      <c r="O75" t="s">
        <v>320</v>
      </c>
    </row>
    <row r="76" spans="1:15" ht="15.75" customHeight="1" x14ac:dyDescent="0.2">
      <c r="A76" t="s">
        <v>389</v>
      </c>
      <c r="B76" t="s">
        <v>333</v>
      </c>
      <c r="C76" t="s">
        <v>370</v>
      </c>
      <c r="D76" t="s">
        <v>324</v>
      </c>
      <c r="E76" t="s">
        <v>71</v>
      </c>
      <c r="F76" t="s">
        <v>306</v>
      </c>
      <c r="G76">
        <v>334</v>
      </c>
      <c r="H76">
        <v>72</v>
      </c>
      <c r="I76">
        <v>24048</v>
      </c>
      <c r="J76">
        <v>16056</v>
      </c>
      <c r="K76">
        <v>7992</v>
      </c>
      <c r="L76">
        <v>8466</v>
      </c>
      <c r="M76">
        <v>15582</v>
      </c>
      <c r="N76" t="s">
        <v>322</v>
      </c>
      <c r="O76" t="s">
        <v>331</v>
      </c>
    </row>
    <row r="77" spans="1:15" ht="15.75" customHeight="1" x14ac:dyDescent="0.2">
      <c r="A77" t="s">
        <v>390</v>
      </c>
      <c r="B77" t="s">
        <v>271</v>
      </c>
      <c r="C77" t="s">
        <v>270</v>
      </c>
      <c r="D77" t="s">
        <v>391</v>
      </c>
      <c r="E77" t="s">
        <v>71</v>
      </c>
      <c r="F77" t="s">
        <v>92</v>
      </c>
      <c r="G77">
        <v>337</v>
      </c>
      <c r="H77">
        <v>1115</v>
      </c>
      <c r="I77">
        <v>375755</v>
      </c>
      <c r="J77">
        <v>264810</v>
      </c>
      <c r="K77">
        <v>110945</v>
      </c>
      <c r="L77">
        <v>388157</v>
      </c>
      <c r="M77">
        <v>-12402</v>
      </c>
      <c r="N77" t="s">
        <v>322</v>
      </c>
      <c r="O77" t="s">
        <v>326</v>
      </c>
    </row>
    <row r="78" spans="1:15" ht="15.75" customHeight="1" x14ac:dyDescent="0.2">
      <c r="A78" t="s">
        <v>392</v>
      </c>
      <c r="B78" t="s">
        <v>271</v>
      </c>
      <c r="C78" t="s">
        <v>270</v>
      </c>
      <c r="D78" t="s">
        <v>335</v>
      </c>
      <c r="E78" t="s">
        <v>82</v>
      </c>
      <c r="F78" t="s">
        <v>306</v>
      </c>
      <c r="G78">
        <v>219</v>
      </c>
      <c r="H78">
        <v>1680</v>
      </c>
      <c r="I78">
        <v>367920</v>
      </c>
      <c r="J78">
        <v>216074</v>
      </c>
      <c r="K78">
        <v>151846</v>
      </c>
      <c r="L78">
        <v>357542</v>
      </c>
      <c r="M78">
        <v>10378</v>
      </c>
      <c r="N78" t="s">
        <v>186</v>
      </c>
      <c r="O78" t="s">
        <v>326</v>
      </c>
    </row>
    <row r="79" spans="1:15" ht="15.75" customHeight="1" x14ac:dyDescent="0.2">
      <c r="A79" t="s">
        <v>380</v>
      </c>
      <c r="B79" t="s">
        <v>263</v>
      </c>
      <c r="C79" t="s">
        <v>276</v>
      </c>
      <c r="D79" t="s">
        <v>360</v>
      </c>
      <c r="E79" t="s">
        <v>325</v>
      </c>
      <c r="F79" t="s">
        <v>70</v>
      </c>
      <c r="G79">
        <v>480</v>
      </c>
      <c r="H79">
        <v>1568</v>
      </c>
      <c r="I79">
        <v>752640</v>
      </c>
      <c r="J79">
        <v>631595</v>
      </c>
      <c r="K79">
        <v>121045</v>
      </c>
      <c r="L79">
        <v>755525</v>
      </c>
      <c r="M79">
        <v>-2885</v>
      </c>
      <c r="N79" t="s">
        <v>322</v>
      </c>
      <c r="O79" t="s">
        <v>320</v>
      </c>
    </row>
    <row r="80" spans="1:15" ht="15.75" customHeight="1" x14ac:dyDescent="0.2">
      <c r="A80" t="s">
        <v>393</v>
      </c>
      <c r="B80" t="s">
        <v>333</v>
      </c>
      <c r="C80" t="s">
        <v>265</v>
      </c>
      <c r="D80" t="s">
        <v>346</v>
      </c>
      <c r="E80" t="s">
        <v>318</v>
      </c>
      <c r="F80" t="s">
        <v>199</v>
      </c>
      <c r="G80">
        <v>488</v>
      </c>
      <c r="H80">
        <v>1448</v>
      </c>
      <c r="I80">
        <v>706624</v>
      </c>
      <c r="J80">
        <v>469013</v>
      </c>
      <c r="K80">
        <v>237611</v>
      </c>
      <c r="L80">
        <v>709904</v>
      </c>
      <c r="M80">
        <v>-3280</v>
      </c>
      <c r="N80" t="s">
        <v>322</v>
      </c>
      <c r="O80" t="s">
        <v>189</v>
      </c>
    </row>
    <row r="81" spans="1:15" ht="15.75" customHeight="1" x14ac:dyDescent="0.2">
      <c r="A81" t="s">
        <v>393</v>
      </c>
      <c r="B81" t="s">
        <v>263</v>
      </c>
      <c r="C81" t="s">
        <v>354</v>
      </c>
      <c r="D81" t="s">
        <v>273</v>
      </c>
      <c r="E81" t="s">
        <v>318</v>
      </c>
      <c r="F81" t="s">
        <v>199</v>
      </c>
      <c r="G81">
        <v>491</v>
      </c>
      <c r="H81">
        <v>1020</v>
      </c>
      <c r="I81">
        <v>500820</v>
      </c>
      <c r="J81">
        <v>333604</v>
      </c>
      <c r="K81">
        <v>167216</v>
      </c>
      <c r="L81">
        <v>511253</v>
      </c>
      <c r="M81">
        <v>-10433</v>
      </c>
      <c r="N81" t="s">
        <v>322</v>
      </c>
      <c r="O81" t="s">
        <v>326</v>
      </c>
    </row>
    <row r="82" spans="1:15" ht="15.75" customHeight="1" x14ac:dyDescent="0.2">
      <c r="A82" t="s">
        <v>394</v>
      </c>
      <c r="B82" t="s">
        <v>263</v>
      </c>
      <c r="C82" t="s">
        <v>264</v>
      </c>
      <c r="D82" t="s">
        <v>324</v>
      </c>
      <c r="E82" t="s">
        <v>71</v>
      </c>
      <c r="F82" t="s">
        <v>199</v>
      </c>
      <c r="G82">
        <v>184</v>
      </c>
      <c r="H82">
        <v>1045</v>
      </c>
      <c r="I82">
        <v>192280</v>
      </c>
      <c r="J82">
        <v>156283</v>
      </c>
      <c r="K82">
        <v>35997</v>
      </c>
      <c r="L82">
        <v>204748</v>
      </c>
      <c r="M82">
        <v>-12468</v>
      </c>
      <c r="N82" t="s">
        <v>186</v>
      </c>
      <c r="O82" t="s">
        <v>189</v>
      </c>
    </row>
    <row r="83" spans="1:15" ht="15.75" customHeight="1" x14ac:dyDescent="0.2">
      <c r="A83" t="s">
        <v>168</v>
      </c>
      <c r="B83" t="s">
        <v>328</v>
      </c>
      <c r="C83" t="s">
        <v>359</v>
      </c>
      <c r="D83" t="s">
        <v>346</v>
      </c>
      <c r="E83" t="s">
        <v>82</v>
      </c>
      <c r="F83" t="s">
        <v>92</v>
      </c>
      <c r="G83">
        <v>458</v>
      </c>
      <c r="H83">
        <v>1494</v>
      </c>
      <c r="I83">
        <v>684252</v>
      </c>
      <c r="J83">
        <v>394157</v>
      </c>
      <c r="K83">
        <v>290095</v>
      </c>
      <c r="L83">
        <v>672776</v>
      </c>
      <c r="M83">
        <v>11476</v>
      </c>
      <c r="N83" t="s">
        <v>322</v>
      </c>
      <c r="O83" t="s">
        <v>189</v>
      </c>
    </row>
    <row r="84" spans="1:15" ht="15.75" customHeight="1" x14ac:dyDescent="0.2">
      <c r="A84" t="s">
        <v>395</v>
      </c>
      <c r="B84" t="s">
        <v>333</v>
      </c>
      <c r="C84" t="s">
        <v>269</v>
      </c>
      <c r="D84" t="s">
        <v>355</v>
      </c>
      <c r="E84" t="s">
        <v>325</v>
      </c>
      <c r="F84" t="s">
        <v>87</v>
      </c>
      <c r="G84">
        <v>88</v>
      </c>
      <c r="H84">
        <v>920</v>
      </c>
      <c r="I84">
        <v>80960</v>
      </c>
      <c r="J84">
        <v>57284</v>
      </c>
      <c r="K84">
        <v>23676</v>
      </c>
      <c r="L84">
        <v>72049</v>
      </c>
      <c r="M84">
        <v>8911</v>
      </c>
      <c r="N84" t="s">
        <v>186</v>
      </c>
      <c r="O84" t="s">
        <v>320</v>
      </c>
    </row>
    <row r="85" spans="1:15" ht="15.75" customHeight="1" x14ac:dyDescent="0.2">
      <c r="A85" t="s">
        <v>389</v>
      </c>
      <c r="B85" t="s">
        <v>271</v>
      </c>
      <c r="C85" t="s">
        <v>270</v>
      </c>
      <c r="D85" t="s">
        <v>346</v>
      </c>
      <c r="E85" t="s">
        <v>325</v>
      </c>
      <c r="F85" t="s">
        <v>199</v>
      </c>
      <c r="G85">
        <v>387</v>
      </c>
      <c r="H85">
        <v>917</v>
      </c>
      <c r="I85">
        <v>354879</v>
      </c>
      <c r="J85">
        <v>300686</v>
      </c>
      <c r="K85">
        <v>54193</v>
      </c>
      <c r="L85">
        <v>355509</v>
      </c>
      <c r="M85">
        <v>-630</v>
      </c>
      <c r="N85" t="s">
        <v>319</v>
      </c>
      <c r="O85" t="s">
        <v>326</v>
      </c>
    </row>
    <row r="86" spans="1:15" ht="15.75" customHeight="1" x14ac:dyDescent="0.2">
      <c r="A86" t="s">
        <v>86</v>
      </c>
      <c r="B86" t="s">
        <v>263</v>
      </c>
      <c r="C86" t="s">
        <v>354</v>
      </c>
      <c r="D86" t="s">
        <v>95</v>
      </c>
      <c r="E86" t="s">
        <v>82</v>
      </c>
      <c r="F86" t="s">
        <v>81</v>
      </c>
      <c r="G86">
        <v>298</v>
      </c>
      <c r="H86">
        <v>1706</v>
      </c>
      <c r="I86">
        <v>508388</v>
      </c>
      <c r="J86">
        <v>405275</v>
      </c>
      <c r="K86">
        <v>103113</v>
      </c>
      <c r="L86">
        <v>526938</v>
      </c>
      <c r="M86">
        <v>-18550</v>
      </c>
      <c r="N86" t="s">
        <v>319</v>
      </c>
      <c r="O86" t="s">
        <v>331</v>
      </c>
    </row>
    <row r="87" spans="1:15" ht="15.75" customHeight="1" x14ac:dyDescent="0.2">
      <c r="A87" t="s">
        <v>150</v>
      </c>
      <c r="B87" t="s">
        <v>333</v>
      </c>
      <c r="C87" t="s">
        <v>343</v>
      </c>
      <c r="D87" t="s">
        <v>84</v>
      </c>
      <c r="E87" t="s">
        <v>82</v>
      </c>
      <c r="F87" t="s">
        <v>306</v>
      </c>
      <c r="G87">
        <v>193</v>
      </c>
      <c r="H87">
        <v>799</v>
      </c>
      <c r="I87">
        <v>154207</v>
      </c>
      <c r="J87">
        <v>106553</v>
      </c>
      <c r="K87">
        <v>47654</v>
      </c>
      <c r="L87">
        <v>144184</v>
      </c>
      <c r="M87">
        <v>10023</v>
      </c>
      <c r="N87" t="s">
        <v>341</v>
      </c>
      <c r="O87" t="s">
        <v>189</v>
      </c>
    </row>
    <row r="88" spans="1:15" ht="15.75" customHeight="1" x14ac:dyDescent="0.2">
      <c r="A88" t="s">
        <v>221</v>
      </c>
      <c r="B88" t="s">
        <v>338</v>
      </c>
      <c r="C88" t="s">
        <v>348</v>
      </c>
      <c r="D88" t="s">
        <v>308</v>
      </c>
      <c r="E88" t="s">
        <v>318</v>
      </c>
      <c r="F88" t="s">
        <v>87</v>
      </c>
      <c r="G88">
        <v>498</v>
      </c>
      <c r="H88">
        <v>1364</v>
      </c>
      <c r="I88">
        <v>679272</v>
      </c>
      <c r="J88">
        <v>465545</v>
      </c>
      <c r="K88">
        <v>213727</v>
      </c>
      <c r="L88">
        <v>694479</v>
      </c>
      <c r="M88">
        <v>-15207</v>
      </c>
      <c r="N88" t="s">
        <v>322</v>
      </c>
      <c r="O88" t="s">
        <v>189</v>
      </c>
    </row>
    <row r="89" spans="1:15" ht="15.75" customHeight="1" x14ac:dyDescent="0.2">
      <c r="A89" t="s">
        <v>396</v>
      </c>
      <c r="B89" t="s">
        <v>338</v>
      </c>
      <c r="C89" t="s">
        <v>345</v>
      </c>
      <c r="D89" t="s">
        <v>69</v>
      </c>
      <c r="E89" t="s">
        <v>82</v>
      </c>
      <c r="F89" t="s">
        <v>92</v>
      </c>
      <c r="G89">
        <v>133</v>
      </c>
      <c r="H89">
        <v>353</v>
      </c>
      <c r="I89">
        <v>46949</v>
      </c>
      <c r="J89">
        <v>39370</v>
      </c>
      <c r="K89">
        <v>7579</v>
      </c>
      <c r="L89">
        <v>29026</v>
      </c>
      <c r="M89">
        <v>17923</v>
      </c>
      <c r="N89" t="s">
        <v>319</v>
      </c>
      <c r="O89" t="s">
        <v>326</v>
      </c>
    </row>
    <row r="90" spans="1:15" ht="15.75" customHeight="1" x14ac:dyDescent="0.2">
      <c r="A90" t="s">
        <v>286</v>
      </c>
      <c r="B90" t="s">
        <v>263</v>
      </c>
      <c r="C90" t="s">
        <v>276</v>
      </c>
      <c r="D90" t="s">
        <v>73</v>
      </c>
      <c r="E90" t="s">
        <v>71</v>
      </c>
      <c r="F90" t="s">
        <v>356</v>
      </c>
      <c r="G90">
        <v>176</v>
      </c>
      <c r="H90">
        <v>1464</v>
      </c>
      <c r="I90">
        <v>257664</v>
      </c>
      <c r="J90">
        <v>159378</v>
      </c>
      <c r="K90">
        <v>98286</v>
      </c>
      <c r="L90">
        <v>248350</v>
      </c>
      <c r="M90">
        <v>9314</v>
      </c>
      <c r="N90" t="s">
        <v>319</v>
      </c>
      <c r="O90" t="s">
        <v>331</v>
      </c>
    </row>
    <row r="91" spans="1:15" ht="15.75" customHeight="1" x14ac:dyDescent="0.2">
      <c r="A91" t="s">
        <v>119</v>
      </c>
      <c r="B91" t="s">
        <v>333</v>
      </c>
      <c r="C91" t="s">
        <v>311</v>
      </c>
      <c r="D91" t="s">
        <v>273</v>
      </c>
      <c r="E91" t="s">
        <v>71</v>
      </c>
      <c r="F91" t="s">
        <v>74</v>
      </c>
      <c r="G91">
        <v>420</v>
      </c>
      <c r="H91">
        <v>1651</v>
      </c>
      <c r="I91">
        <v>693420</v>
      </c>
      <c r="J91">
        <v>477594</v>
      </c>
      <c r="K91">
        <v>215826</v>
      </c>
      <c r="L91">
        <v>674303</v>
      </c>
      <c r="M91">
        <v>19117</v>
      </c>
      <c r="N91" t="s">
        <v>186</v>
      </c>
      <c r="O91" t="s">
        <v>331</v>
      </c>
    </row>
    <row r="92" spans="1:15" ht="15.75" customHeight="1" x14ac:dyDescent="0.2">
      <c r="A92" t="s">
        <v>232</v>
      </c>
      <c r="B92" t="s">
        <v>338</v>
      </c>
      <c r="C92" t="s">
        <v>350</v>
      </c>
      <c r="D92" t="s">
        <v>340</v>
      </c>
      <c r="E92" t="s">
        <v>71</v>
      </c>
      <c r="F92" t="s">
        <v>74</v>
      </c>
      <c r="G92">
        <v>49</v>
      </c>
      <c r="H92">
        <v>1987</v>
      </c>
      <c r="I92">
        <v>97363</v>
      </c>
      <c r="J92">
        <v>78472</v>
      </c>
      <c r="K92">
        <v>18891</v>
      </c>
      <c r="L92">
        <v>99217</v>
      </c>
      <c r="M92">
        <v>-1854</v>
      </c>
      <c r="N92" t="s">
        <v>186</v>
      </c>
      <c r="O92" t="s">
        <v>320</v>
      </c>
    </row>
    <row r="93" spans="1:15" ht="15.75" customHeight="1" x14ac:dyDescent="0.2">
      <c r="A93" t="s">
        <v>107</v>
      </c>
      <c r="B93" t="s">
        <v>333</v>
      </c>
      <c r="C93" t="s">
        <v>311</v>
      </c>
      <c r="D93" t="s">
        <v>330</v>
      </c>
      <c r="E93" t="s">
        <v>318</v>
      </c>
      <c r="F93" t="s">
        <v>74</v>
      </c>
      <c r="G93">
        <v>216</v>
      </c>
      <c r="H93">
        <v>58</v>
      </c>
      <c r="I93">
        <v>12528</v>
      </c>
      <c r="J93">
        <v>8778</v>
      </c>
      <c r="K93">
        <v>3750</v>
      </c>
      <c r="L93">
        <v>8287</v>
      </c>
      <c r="M93">
        <v>4241</v>
      </c>
      <c r="N93" t="s">
        <v>341</v>
      </c>
      <c r="O93" t="s">
        <v>331</v>
      </c>
    </row>
    <row r="94" spans="1:15" ht="15.75" customHeight="1" x14ac:dyDescent="0.2">
      <c r="A94" t="s">
        <v>397</v>
      </c>
      <c r="B94" t="s">
        <v>338</v>
      </c>
      <c r="C94" t="s">
        <v>348</v>
      </c>
      <c r="D94" t="s">
        <v>223</v>
      </c>
      <c r="E94" t="s">
        <v>71</v>
      </c>
      <c r="F94" t="s">
        <v>199</v>
      </c>
      <c r="G94">
        <v>161</v>
      </c>
      <c r="H94">
        <v>1776</v>
      </c>
      <c r="I94">
        <v>285936</v>
      </c>
      <c r="J94">
        <v>182026</v>
      </c>
      <c r="K94">
        <v>103910</v>
      </c>
      <c r="L94">
        <v>278293</v>
      </c>
      <c r="M94">
        <v>7643</v>
      </c>
      <c r="N94" t="s">
        <v>322</v>
      </c>
      <c r="O94" t="s">
        <v>326</v>
      </c>
    </row>
    <row r="95" spans="1:15" ht="15.75" customHeight="1" x14ac:dyDescent="0.2">
      <c r="A95" t="s">
        <v>251</v>
      </c>
      <c r="B95" t="s">
        <v>333</v>
      </c>
      <c r="C95" t="s">
        <v>265</v>
      </c>
      <c r="D95" t="s">
        <v>273</v>
      </c>
      <c r="E95" t="s">
        <v>82</v>
      </c>
      <c r="F95" t="s">
        <v>356</v>
      </c>
      <c r="G95">
        <v>429</v>
      </c>
      <c r="H95">
        <v>1489</v>
      </c>
      <c r="I95">
        <v>638781</v>
      </c>
      <c r="J95">
        <v>383069</v>
      </c>
      <c r="K95">
        <v>255712</v>
      </c>
      <c r="L95">
        <v>642355</v>
      </c>
      <c r="M95">
        <v>-3574</v>
      </c>
      <c r="N95" t="s">
        <v>341</v>
      </c>
      <c r="O95" t="s">
        <v>320</v>
      </c>
    </row>
    <row r="96" spans="1:15" ht="15.75" customHeight="1" x14ac:dyDescent="0.2">
      <c r="A96" t="s">
        <v>353</v>
      </c>
      <c r="B96" t="s">
        <v>328</v>
      </c>
      <c r="C96" t="s">
        <v>359</v>
      </c>
      <c r="D96" t="s">
        <v>95</v>
      </c>
      <c r="E96" t="s">
        <v>318</v>
      </c>
      <c r="F96" t="s">
        <v>92</v>
      </c>
      <c r="G96">
        <v>349</v>
      </c>
      <c r="H96">
        <v>1173</v>
      </c>
      <c r="I96">
        <v>409377</v>
      </c>
      <c r="J96">
        <v>342085</v>
      </c>
      <c r="K96">
        <v>67292</v>
      </c>
      <c r="L96">
        <v>421821</v>
      </c>
      <c r="M96">
        <v>-12444</v>
      </c>
      <c r="N96" t="s">
        <v>186</v>
      </c>
      <c r="O96" t="s">
        <v>331</v>
      </c>
    </row>
    <row r="97" spans="1:15" ht="15.75" customHeight="1" x14ac:dyDescent="0.2">
      <c r="A97" t="s">
        <v>221</v>
      </c>
      <c r="B97" t="s">
        <v>338</v>
      </c>
      <c r="C97" t="s">
        <v>350</v>
      </c>
      <c r="D97" t="s">
        <v>330</v>
      </c>
      <c r="E97" t="s">
        <v>325</v>
      </c>
      <c r="F97" t="s">
        <v>87</v>
      </c>
      <c r="G97">
        <v>9</v>
      </c>
      <c r="H97">
        <v>998</v>
      </c>
      <c r="I97">
        <v>8982</v>
      </c>
      <c r="J97">
        <v>5287</v>
      </c>
      <c r="K97">
        <v>3695</v>
      </c>
      <c r="L97">
        <v>13229</v>
      </c>
      <c r="M97">
        <v>-4247</v>
      </c>
      <c r="N97" t="s">
        <v>322</v>
      </c>
      <c r="O97" t="s">
        <v>326</v>
      </c>
    </row>
    <row r="98" spans="1:15" ht="15.75" customHeight="1" x14ac:dyDescent="0.2">
      <c r="A98" t="s">
        <v>398</v>
      </c>
      <c r="B98" t="s">
        <v>271</v>
      </c>
      <c r="C98" t="s">
        <v>272</v>
      </c>
      <c r="D98" t="s">
        <v>308</v>
      </c>
      <c r="E98" t="s">
        <v>71</v>
      </c>
      <c r="F98" t="s">
        <v>199</v>
      </c>
      <c r="G98">
        <v>143</v>
      </c>
      <c r="H98">
        <v>1933</v>
      </c>
      <c r="I98">
        <v>276419</v>
      </c>
      <c r="J98">
        <v>169716</v>
      </c>
      <c r="K98">
        <v>106703</v>
      </c>
      <c r="L98">
        <v>286190</v>
      </c>
      <c r="M98">
        <v>-9771</v>
      </c>
      <c r="N98" t="s">
        <v>319</v>
      </c>
      <c r="O98" t="s">
        <v>326</v>
      </c>
    </row>
    <row r="99" spans="1:15" ht="15.75" customHeight="1" x14ac:dyDescent="0.2">
      <c r="A99" t="s">
        <v>127</v>
      </c>
      <c r="B99" t="s">
        <v>328</v>
      </c>
      <c r="C99" t="s">
        <v>367</v>
      </c>
      <c r="D99" t="s">
        <v>340</v>
      </c>
      <c r="E99" t="s">
        <v>71</v>
      </c>
      <c r="F99" t="s">
        <v>356</v>
      </c>
      <c r="G99">
        <v>74</v>
      </c>
      <c r="H99">
        <v>1372</v>
      </c>
      <c r="I99">
        <v>101528</v>
      </c>
      <c r="J99">
        <v>56284</v>
      </c>
      <c r="K99">
        <v>45244</v>
      </c>
      <c r="L99">
        <v>116229</v>
      </c>
      <c r="M99">
        <v>-14701</v>
      </c>
      <c r="N99" t="s">
        <v>319</v>
      </c>
      <c r="O99" t="s">
        <v>331</v>
      </c>
    </row>
    <row r="100" spans="1:15" ht="15.75" customHeight="1" x14ac:dyDescent="0.2">
      <c r="A100" t="s">
        <v>165</v>
      </c>
      <c r="B100" t="s">
        <v>333</v>
      </c>
      <c r="C100" t="s">
        <v>370</v>
      </c>
      <c r="D100" t="s">
        <v>336</v>
      </c>
      <c r="E100" t="s">
        <v>318</v>
      </c>
      <c r="F100" t="s">
        <v>87</v>
      </c>
      <c r="G100">
        <v>24</v>
      </c>
      <c r="H100">
        <v>1408</v>
      </c>
      <c r="I100">
        <v>33792</v>
      </c>
      <c r="J100">
        <v>26721</v>
      </c>
      <c r="K100">
        <v>7071</v>
      </c>
      <c r="L100">
        <v>19855</v>
      </c>
      <c r="M100">
        <v>13937</v>
      </c>
      <c r="N100" t="s">
        <v>319</v>
      </c>
      <c r="O100" t="s">
        <v>326</v>
      </c>
    </row>
    <row r="101" spans="1:15" ht="15.75" customHeight="1" x14ac:dyDescent="0.2">
      <c r="A101" t="s">
        <v>392</v>
      </c>
      <c r="B101" t="s">
        <v>271</v>
      </c>
      <c r="C101" t="s">
        <v>270</v>
      </c>
      <c r="D101" t="s">
        <v>355</v>
      </c>
      <c r="E101" t="s">
        <v>71</v>
      </c>
      <c r="F101" t="s">
        <v>81</v>
      </c>
      <c r="G101">
        <v>419</v>
      </c>
      <c r="H101">
        <v>520</v>
      </c>
      <c r="I101">
        <v>217880</v>
      </c>
      <c r="J101">
        <v>121487</v>
      </c>
      <c r="K101">
        <v>96393</v>
      </c>
      <c r="L101">
        <v>222910</v>
      </c>
      <c r="M101">
        <v>-5030</v>
      </c>
      <c r="N101" t="s">
        <v>322</v>
      </c>
      <c r="O101" t="s">
        <v>326</v>
      </c>
    </row>
    <row r="102" spans="1:15" ht="15.75" customHeight="1" x14ac:dyDescent="0.2">
      <c r="A102" t="s">
        <v>399</v>
      </c>
      <c r="B102" t="s">
        <v>333</v>
      </c>
      <c r="C102" t="s">
        <v>370</v>
      </c>
      <c r="D102" t="s">
        <v>371</v>
      </c>
      <c r="E102" t="s">
        <v>325</v>
      </c>
      <c r="F102" t="s">
        <v>306</v>
      </c>
      <c r="G102">
        <v>402</v>
      </c>
      <c r="H102">
        <v>969</v>
      </c>
      <c r="I102">
        <v>389538</v>
      </c>
      <c r="J102">
        <v>263985</v>
      </c>
      <c r="K102">
        <v>125553</v>
      </c>
      <c r="L102">
        <v>401830</v>
      </c>
      <c r="M102">
        <v>-12292</v>
      </c>
      <c r="N102" t="s">
        <v>186</v>
      </c>
      <c r="O102" t="s">
        <v>320</v>
      </c>
    </row>
    <row r="103" spans="1:15" ht="15.75" customHeight="1" x14ac:dyDescent="0.2">
      <c r="A103" t="s">
        <v>400</v>
      </c>
      <c r="B103" t="s">
        <v>271</v>
      </c>
      <c r="C103" t="s">
        <v>272</v>
      </c>
      <c r="D103" t="s">
        <v>324</v>
      </c>
      <c r="E103" t="s">
        <v>71</v>
      </c>
      <c r="F103" t="s">
        <v>199</v>
      </c>
      <c r="G103">
        <v>436</v>
      </c>
      <c r="H103">
        <v>1881</v>
      </c>
      <c r="I103">
        <v>820116</v>
      </c>
      <c r="J103">
        <v>646977</v>
      </c>
      <c r="K103">
        <v>173139</v>
      </c>
      <c r="L103">
        <v>817273</v>
      </c>
      <c r="M103">
        <v>2843</v>
      </c>
      <c r="N103" t="s">
        <v>322</v>
      </c>
      <c r="O103" t="s">
        <v>189</v>
      </c>
    </row>
    <row r="104" spans="1:15" ht="15.75" customHeight="1" x14ac:dyDescent="0.2">
      <c r="A104" t="s">
        <v>401</v>
      </c>
      <c r="B104" t="s">
        <v>271</v>
      </c>
      <c r="C104" t="s">
        <v>270</v>
      </c>
      <c r="D104" t="s">
        <v>307</v>
      </c>
      <c r="E104" t="s">
        <v>325</v>
      </c>
      <c r="F104" t="s">
        <v>306</v>
      </c>
      <c r="G104">
        <v>89</v>
      </c>
      <c r="H104">
        <v>265</v>
      </c>
      <c r="I104">
        <v>23585</v>
      </c>
      <c r="J104">
        <v>19433</v>
      </c>
      <c r="K104">
        <v>4152</v>
      </c>
      <c r="L104">
        <v>30201</v>
      </c>
      <c r="M104">
        <v>-6616</v>
      </c>
      <c r="N104" t="s">
        <v>341</v>
      </c>
      <c r="O104" t="s">
        <v>320</v>
      </c>
    </row>
    <row r="105" spans="1:15" ht="15.75" customHeight="1" x14ac:dyDescent="0.2">
      <c r="A105" t="s">
        <v>290</v>
      </c>
      <c r="B105" t="s">
        <v>338</v>
      </c>
      <c r="C105" t="s">
        <v>350</v>
      </c>
      <c r="D105" t="s">
        <v>346</v>
      </c>
      <c r="E105" t="s">
        <v>325</v>
      </c>
      <c r="F105" t="s">
        <v>199</v>
      </c>
      <c r="G105">
        <v>178</v>
      </c>
      <c r="H105">
        <v>108</v>
      </c>
      <c r="I105">
        <v>19224</v>
      </c>
      <c r="J105">
        <v>12745</v>
      </c>
      <c r="K105">
        <v>6479</v>
      </c>
      <c r="L105">
        <v>5486</v>
      </c>
      <c r="M105">
        <v>13738</v>
      </c>
      <c r="N105" t="s">
        <v>319</v>
      </c>
      <c r="O105" t="s">
        <v>189</v>
      </c>
    </row>
    <row r="106" spans="1:15" ht="15.75" customHeight="1" x14ac:dyDescent="0.2">
      <c r="A106" t="s">
        <v>402</v>
      </c>
      <c r="B106" t="s">
        <v>263</v>
      </c>
      <c r="C106" t="s">
        <v>276</v>
      </c>
      <c r="D106" t="s">
        <v>391</v>
      </c>
      <c r="E106" t="s">
        <v>71</v>
      </c>
      <c r="F106" t="s">
        <v>81</v>
      </c>
      <c r="G106">
        <v>482</v>
      </c>
      <c r="H106">
        <v>1189</v>
      </c>
      <c r="I106">
        <v>573098</v>
      </c>
      <c r="J106">
        <v>308009</v>
      </c>
      <c r="K106">
        <v>265089</v>
      </c>
      <c r="L106">
        <v>577921</v>
      </c>
      <c r="M106">
        <v>-4823</v>
      </c>
      <c r="N106" t="s">
        <v>186</v>
      </c>
      <c r="O106" t="s">
        <v>189</v>
      </c>
    </row>
    <row r="107" spans="1:15" ht="15.75" customHeight="1" x14ac:dyDescent="0.2">
      <c r="A107" t="s">
        <v>403</v>
      </c>
      <c r="B107" t="s">
        <v>333</v>
      </c>
      <c r="C107" t="s">
        <v>343</v>
      </c>
      <c r="D107" t="s">
        <v>308</v>
      </c>
      <c r="E107" t="s">
        <v>318</v>
      </c>
      <c r="F107" t="s">
        <v>92</v>
      </c>
      <c r="G107">
        <v>90</v>
      </c>
      <c r="H107">
        <v>190</v>
      </c>
      <c r="I107">
        <v>17100</v>
      </c>
      <c r="J107">
        <v>8919</v>
      </c>
      <c r="K107">
        <v>8181</v>
      </c>
      <c r="L107">
        <v>25774</v>
      </c>
      <c r="M107">
        <v>-8674</v>
      </c>
      <c r="N107" t="s">
        <v>186</v>
      </c>
      <c r="O107" t="s">
        <v>331</v>
      </c>
    </row>
    <row r="108" spans="1:15" ht="15.75" customHeight="1" x14ac:dyDescent="0.2">
      <c r="A108" t="s">
        <v>404</v>
      </c>
      <c r="B108" t="s">
        <v>333</v>
      </c>
      <c r="C108" t="s">
        <v>343</v>
      </c>
      <c r="D108" t="s">
        <v>317</v>
      </c>
      <c r="E108" t="s">
        <v>71</v>
      </c>
      <c r="F108" t="s">
        <v>199</v>
      </c>
      <c r="G108">
        <v>324</v>
      </c>
      <c r="H108">
        <v>1801</v>
      </c>
      <c r="I108">
        <v>583524</v>
      </c>
      <c r="J108">
        <v>456319</v>
      </c>
      <c r="K108">
        <v>127205</v>
      </c>
      <c r="L108">
        <v>574785</v>
      </c>
      <c r="M108">
        <v>8739</v>
      </c>
      <c r="N108" t="s">
        <v>341</v>
      </c>
      <c r="O108" t="s">
        <v>320</v>
      </c>
    </row>
    <row r="109" spans="1:15" ht="15.75" customHeight="1" x14ac:dyDescent="0.2">
      <c r="A109" t="s">
        <v>279</v>
      </c>
      <c r="B109" t="s">
        <v>271</v>
      </c>
      <c r="C109" t="s">
        <v>309</v>
      </c>
      <c r="D109" t="s">
        <v>317</v>
      </c>
      <c r="E109" t="s">
        <v>71</v>
      </c>
      <c r="F109" t="s">
        <v>74</v>
      </c>
      <c r="G109">
        <v>10</v>
      </c>
      <c r="H109">
        <v>711</v>
      </c>
      <c r="I109">
        <v>7110</v>
      </c>
      <c r="J109">
        <v>3918</v>
      </c>
      <c r="K109">
        <v>3192</v>
      </c>
      <c r="L109">
        <v>13158</v>
      </c>
      <c r="M109">
        <v>-6048</v>
      </c>
      <c r="N109" t="s">
        <v>341</v>
      </c>
      <c r="O109" t="s">
        <v>331</v>
      </c>
    </row>
    <row r="110" spans="1:15" ht="15.75" customHeight="1" x14ac:dyDescent="0.2">
      <c r="A110" t="s">
        <v>394</v>
      </c>
      <c r="B110" t="s">
        <v>328</v>
      </c>
      <c r="C110" t="s">
        <v>367</v>
      </c>
      <c r="D110" t="s">
        <v>330</v>
      </c>
      <c r="E110" t="s">
        <v>82</v>
      </c>
      <c r="F110" t="s">
        <v>87</v>
      </c>
      <c r="G110">
        <v>153</v>
      </c>
      <c r="H110">
        <v>1864</v>
      </c>
      <c r="I110">
        <v>285192</v>
      </c>
      <c r="J110">
        <v>204185</v>
      </c>
      <c r="K110">
        <v>81007</v>
      </c>
      <c r="L110">
        <v>295068</v>
      </c>
      <c r="M110">
        <v>-9876</v>
      </c>
      <c r="N110" t="s">
        <v>322</v>
      </c>
      <c r="O110" t="s">
        <v>189</v>
      </c>
    </row>
    <row r="111" spans="1:15" ht="15.75" customHeight="1" x14ac:dyDescent="0.2">
      <c r="A111" t="s">
        <v>394</v>
      </c>
      <c r="B111" t="s">
        <v>338</v>
      </c>
      <c r="C111" t="s">
        <v>345</v>
      </c>
      <c r="D111" t="s">
        <v>330</v>
      </c>
      <c r="E111" t="s">
        <v>71</v>
      </c>
      <c r="F111" t="s">
        <v>92</v>
      </c>
      <c r="G111">
        <v>346</v>
      </c>
      <c r="H111">
        <v>1141</v>
      </c>
      <c r="I111">
        <v>394786</v>
      </c>
      <c r="J111">
        <v>282067</v>
      </c>
      <c r="K111">
        <v>112719</v>
      </c>
      <c r="L111">
        <v>405340</v>
      </c>
      <c r="M111">
        <v>-10554</v>
      </c>
      <c r="N111" t="s">
        <v>341</v>
      </c>
      <c r="O111" t="s">
        <v>326</v>
      </c>
    </row>
    <row r="112" spans="1:15" ht="15.75" customHeight="1" x14ac:dyDescent="0.2">
      <c r="A112" t="s">
        <v>405</v>
      </c>
      <c r="B112" t="s">
        <v>271</v>
      </c>
      <c r="C112" t="s">
        <v>309</v>
      </c>
      <c r="D112" t="s">
        <v>371</v>
      </c>
      <c r="E112" t="s">
        <v>318</v>
      </c>
      <c r="F112" t="s">
        <v>199</v>
      </c>
      <c r="G112">
        <v>259</v>
      </c>
      <c r="H112">
        <v>1147</v>
      </c>
      <c r="I112">
        <v>297073</v>
      </c>
      <c r="J112">
        <v>244359</v>
      </c>
      <c r="K112">
        <v>52714</v>
      </c>
      <c r="L112">
        <v>311405</v>
      </c>
      <c r="M112">
        <v>-14332</v>
      </c>
      <c r="N112" t="s">
        <v>322</v>
      </c>
      <c r="O112" t="s">
        <v>326</v>
      </c>
    </row>
    <row r="113" spans="1:15" ht="15.75" customHeight="1" x14ac:dyDescent="0.2">
      <c r="A113" t="s">
        <v>402</v>
      </c>
      <c r="B113" t="s">
        <v>328</v>
      </c>
      <c r="C113" t="s">
        <v>367</v>
      </c>
      <c r="D113" t="s">
        <v>330</v>
      </c>
      <c r="E113" t="s">
        <v>71</v>
      </c>
      <c r="F113" t="s">
        <v>87</v>
      </c>
      <c r="G113">
        <v>374</v>
      </c>
      <c r="H113">
        <v>1812</v>
      </c>
      <c r="I113">
        <v>677688</v>
      </c>
      <c r="J113">
        <v>495158</v>
      </c>
      <c r="K113">
        <v>182530</v>
      </c>
      <c r="L113">
        <v>697323</v>
      </c>
      <c r="M113">
        <v>-19635</v>
      </c>
      <c r="N113" t="s">
        <v>319</v>
      </c>
      <c r="O113" t="s">
        <v>331</v>
      </c>
    </row>
    <row r="114" spans="1:15" ht="15.75" customHeight="1" x14ac:dyDescent="0.2">
      <c r="A114" t="s">
        <v>406</v>
      </c>
      <c r="B114" t="s">
        <v>333</v>
      </c>
      <c r="C114" t="s">
        <v>269</v>
      </c>
      <c r="D114" t="s">
        <v>371</v>
      </c>
      <c r="E114" t="s">
        <v>71</v>
      </c>
      <c r="F114" t="s">
        <v>87</v>
      </c>
      <c r="G114">
        <v>74</v>
      </c>
      <c r="H114">
        <v>1431</v>
      </c>
      <c r="I114">
        <v>105894</v>
      </c>
      <c r="J114">
        <v>67148</v>
      </c>
      <c r="K114">
        <v>38746</v>
      </c>
      <c r="L114">
        <v>104752</v>
      </c>
      <c r="M114">
        <v>1142</v>
      </c>
      <c r="N114" t="s">
        <v>341</v>
      </c>
      <c r="O114" t="s">
        <v>320</v>
      </c>
    </row>
    <row r="115" spans="1:15" ht="15.75" customHeight="1" x14ac:dyDescent="0.2">
      <c r="A115" t="s">
        <v>158</v>
      </c>
      <c r="B115" t="s">
        <v>271</v>
      </c>
      <c r="C115" t="s">
        <v>309</v>
      </c>
      <c r="D115" t="s">
        <v>391</v>
      </c>
      <c r="E115" t="s">
        <v>325</v>
      </c>
      <c r="F115" t="s">
        <v>199</v>
      </c>
      <c r="G115">
        <v>442</v>
      </c>
      <c r="H115">
        <v>1115</v>
      </c>
      <c r="I115">
        <v>492830</v>
      </c>
      <c r="J115">
        <v>409556</v>
      </c>
      <c r="K115">
        <v>83274</v>
      </c>
      <c r="L115">
        <v>487984</v>
      </c>
      <c r="M115">
        <v>4846</v>
      </c>
      <c r="N115" t="s">
        <v>322</v>
      </c>
      <c r="O115" t="s">
        <v>331</v>
      </c>
    </row>
    <row r="116" spans="1:15" ht="15.75" customHeight="1" x14ac:dyDescent="0.2">
      <c r="A116" t="s">
        <v>407</v>
      </c>
      <c r="B116" t="s">
        <v>338</v>
      </c>
      <c r="C116" t="s">
        <v>348</v>
      </c>
      <c r="D116" t="s">
        <v>355</v>
      </c>
      <c r="E116" t="s">
        <v>82</v>
      </c>
      <c r="F116" t="s">
        <v>74</v>
      </c>
      <c r="G116">
        <v>281</v>
      </c>
      <c r="H116">
        <v>884</v>
      </c>
      <c r="I116">
        <v>248404</v>
      </c>
      <c r="J116">
        <v>170273</v>
      </c>
      <c r="K116">
        <v>78131</v>
      </c>
      <c r="L116">
        <v>246631</v>
      </c>
      <c r="M116">
        <v>1773</v>
      </c>
      <c r="N116" t="s">
        <v>319</v>
      </c>
      <c r="O116" t="s">
        <v>189</v>
      </c>
    </row>
    <row r="117" spans="1:15" ht="15.75" customHeight="1" x14ac:dyDescent="0.2">
      <c r="A117" t="s">
        <v>113</v>
      </c>
      <c r="B117" t="s">
        <v>333</v>
      </c>
      <c r="C117" t="s">
        <v>265</v>
      </c>
      <c r="D117" t="s">
        <v>77</v>
      </c>
      <c r="E117" t="s">
        <v>325</v>
      </c>
      <c r="F117" t="s">
        <v>74</v>
      </c>
      <c r="G117">
        <v>331</v>
      </c>
      <c r="H117">
        <v>1667</v>
      </c>
      <c r="I117">
        <v>551777</v>
      </c>
      <c r="J117">
        <v>463312</v>
      </c>
      <c r="K117">
        <v>88465</v>
      </c>
      <c r="L117">
        <v>550067</v>
      </c>
      <c r="M117">
        <v>1710</v>
      </c>
      <c r="N117" t="s">
        <v>319</v>
      </c>
      <c r="O117" t="s">
        <v>320</v>
      </c>
    </row>
    <row r="118" spans="1:15" ht="15.75" customHeight="1" x14ac:dyDescent="0.2">
      <c r="A118" t="s">
        <v>215</v>
      </c>
      <c r="B118" t="s">
        <v>333</v>
      </c>
      <c r="C118" t="s">
        <v>269</v>
      </c>
      <c r="D118" t="s">
        <v>95</v>
      </c>
      <c r="E118" t="s">
        <v>318</v>
      </c>
      <c r="F118" t="s">
        <v>81</v>
      </c>
      <c r="G118">
        <v>218</v>
      </c>
      <c r="H118">
        <v>1147</v>
      </c>
      <c r="I118">
        <v>250046</v>
      </c>
      <c r="J118">
        <v>208599</v>
      </c>
      <c r="K118">
        <v>41447</v>
      </c>
      <c r="L118">
        <v>236217</v>
      </c>
      <c r="M118">
        <v>13829</v>
      </c>
      <c r="N118" t="s">
        <v>341</v>
      </c>
      <c r="O118" t="s">
        <v>326</v>
      </c>
    </row>
    <row r="119" spans="1:15" ht="15.75" customHeight="1" x14ac:dyDescent="0.2">
      <c r="A119" t="s">
        <v>135</v>
      </c>
      <c r="B119" t="s">
        <v>338</v>
      </c>
      <c r="C119" t="s">
        <v>345</v>
      </c>
      <c r="D119" t="s">
        <v>317</v>
      </c>
      <c r="E119" t="s">
        <v>71</v>
      </c>
      <c r="F119" t="s">
        <v>87</v>
      </c>
      <c r="G119">
        <v>19</v>
      </c>
      <c r="H119">
        <v>1670</v>
      </c>
      <c r="I119">
        <v>31730</v>
      </c>
      <c r="J119">
        <v>25734</v>
      </c>
      <c r="K119">
        <v>5996</v>
      </c>
      <c r="L119">
        <v>47855</v>
      </c>
      <c r="M119">
        <v>-16125</v>
      </c>
      <c r="N119" t="s">
        <v>186</v>
      </c>
      <c r="O119" t="s">
        <v>331</v>
      </c>
    </row>
    <row r="120" spans="1:15" ht="15.75" customHeight="1" x14ac:dyDescent="0.2">
      <c r="A120" t="s">
        <v>408</v>
      </c>
      <c r="B120" t="s">
        <v>328</v>
      </c>
      <c r="C120" t="s">
        <v>283</v>
      </c>
      <c r="D120" t="s">
        <v>360</v>
      </c>
      <c r="E120" t="s">
        <v>325</v>
      </c>
      <c r="F120" t="s">
        <v>199</v>
      </c>
      <c r="G120">
        <v>181</v>
      </c>
      <c r="H120">
        <v>314</v>
      </c>
      <c r="I120">
        <v>56834</v>
      </c>
      <c r="J120">
        <v>47044</v>
      </c>
      <c r="K120">
        <v>9790</v>
      </c>
      <c r="L120">
        <v>61965</v>
      </c>
      <c r="M120">
        <v>-5131</v>
      </c>
      <c r="N120" t="s">
        <v>341</v>
      </c>
      <c r="O120" t="s">
        <v>189</v>
      </c>
    </row>
    <row r="121" spans="1:15" ht="15.75" customHeight="1" x14ac:dyDescent="0.2">
      <c r="A121" t="s">
        <v>292</v>
      </c>
      <c r="B121" t="s">
        <v>338</v>
      </c>
      <c r="C121" t="s">
        <v>348</v>
      </c>
      <c r="D121" t="s">
        <v>273</v>
      </c>
      <c r="E121" t="s">
        <v>318</v>
      </c>
      <c r="F121" t="s">
        <v>87</v>
      </c>
      <c r="G121">
        <v>24</v>
      </c>
      <c r="H121">
        <v>1281</v>
      </c>
      <c r="I121">
        <v>30744</v>
      </c>
      <c r="J121">
        <v>23830</v>
      </c>
      <c r="K121">
        <v>6914</v>
      </c>
      <c r="L121">
        <v>32065</v>
      </c>
      <c r="M121">
        <v>-1321</v>
      </c>
      <c r="N121" t="s">
        <v>319</v>
      </c>
      <c r="O121" t="s">
        <v>189</v>
      </c>
    </row>
    <row r="122" spans="1:15" ht="15.75" customHeight="1" x14ac:dyDescent="0.2">
      <c r="A122" t="s">
        <v>130</v>
      </c>
      <c r="B122" t="s">
        <v>271</v>
      </c>
      <c r="C122" t="s">
        <v>309</v>
      </c>
      <c r="D122" t="s">
        <v>273</v>
      </c>
      <c r="E122" t="s">
        <v>82</v>
      </c>
      <c r="F122" t="s">
        <v>87</v>
      </c>
      <c r="G122">
        <v>161</v>
      </c>
      <c r="H122">
        <v>1332</v>
      </c>
      <c r="I122">
        <v>214452</v>
      </c>
      <c r="J122">
        <v>154130</v>
      </c>
      <c r="K122">
        <v>60322</v>
      </c>
      <c r="L122">
        <v>216358</v>
      </c>
      <c r="M122">
        <v>-1906</v>
      </c>
      <c r="N122" t="s">
        <v>186</v>
      </c>
      <c r="O122" t="s">
        <v>320</v>
      </c>
    </row>
    <row r="123" spans="1:15" ht="15.75" customHeight="1" x14ac:dyDescent="0.2">
      <c r="A123" t="s">
        <v>409</v>
      </c>
      <c r="B123" t="s">
        <v>263</v>
      </c>
      <c r="C123" t="s">
        <v>276</v>
      </c>
      <c r="D123" t="s">
        <v>308</v>
      </c>
      <c r="E123" t="s">
        <v>82</v>
      </c>
      <c r="F123" t="s">
        <v>92</v>
      </c>
      <c r="G123">
        <v>478</v>
      </c>
      <c r="H123">
        <v>1882</v>
      </c>
      <c r="I123">
        <v>899596</v>
      </c>
      <c r="J123">
        <v>721734</v>
      </c>
      <c r="K123">
        <v>177862</v>
      </c>
      <c r="L123">
        <v>879655</v>
      </c>
      <c r="M123">
        <v>19941</v>
      </c>
      <c r="N123" t="s">
        <v>319</v>
      </c>
      <c r="O123" t="s">
        <v>189</v>
      </c>
    </row>
    <row r="124" spans="1:15" ht="15.75" customHeight="1" x14ac:dyDescent="0.2">
      <c r="A124" t="s">
        <v>410</v>
      </c>
      <c r="B124" t="s">
        <v>263</v>
      </c>
      <c r="C124" t="s">
        <v>354</v>
      </c>
      <c r="D124" t="s">
        <v>307</v>
      </c>
      <c r="E124" t="s">
        <v>318</v>
      </c>
      <c r="F124" t="s">
        <v>81</v>
      </c>
      <c r="G124">
        <v>297</v>
      </c>
      <c r="H124">
        <v>140</v>
      </c>
      <c r="I124">
        <v>41580</v>
      </c>
      <c r="J124">
        <v>21210</v>
      </c>
      <c r="K124">
        <v>20370</v>
      </c>
      <c r="L124">
        <v>47946</v>
      </c>
      <c r="M124">
        <v>-6366</v>
      </c>
      <c r="N124" t="s">
        <v>341</v>
      </c>
      <c r="O124" t="s">
        <v>331</v>
      </c>
    </row>
    <row r="125" spans="1:15" ht="15.75" customHeight="1" x14ac:dyDescent="0.2">
      <c r="A125" t="s">
        <v>287</v>
      </c>
      <c r="B125" t="s">
        <v>263</v>
      </c>
      <c r="C125" t="s">
        <v>354</v>
      </c>
      <c r="D125" t="s">
        <v>84</v>
      </c>
      <c r="E125" t="s">
        <v>318</v>
      </c>
      <c r="F125" t="s">
        <v>74</v>
      </c>
      <c r="G125">
        <v>304</v>
      </c>
      <c r="H125">
        <v>1450</v>
      </c>
      <c r="I125">
        <v>440800</v>
      </c>
      <c r="J125">
        <v>224349</v>
      </c>
      <c r="K125">
        <v>216451</v>
      </c>
      <c r="L125">
        <v>452223</v>
      </c>
      <c r="M125">
        <v>-11423</v>
      </c>
      <c r="N125" t="s">
        <v>186</v>
      </c>
      <c r="O125" t="s">
        <v>331</v>
      </c>
    </row>
    <row r="126" spans="1:15" ht="15.75" customHeight="1" x14ac:dyDescent="0.2">
      <c r="A126" t="s">
        <v>168</v>
      </c>
      <c r="B126" t="s">
        <v>333</v>
      </c>
      <c r="C126" t="s">
        <v>383</v>
      </c>
      <c r="D126" t="s">
        <v>340</v>
      </c>
      <c r="E126" t="s">
        <v>82</v>
      </c>
      <c r="F126" t="s">
        <v>92</v>
      </c>
      <c r="G126">
        <v>468</v>
      </c>
      <c r="H126">
        <v>1545</v>
      </c>
      <c r="I126">
        <v>723060</v>
      </c>
      <c r="J126">
        <v>522710</v>
      </c>
      <c r="K126">
        <v>200350</v>
      </c>
      <c r="L126">
        <v>728439</v>
      </c>
      <c r="M126">
        <v>-5379</v>
      </c>
      <c r="N126" t="s">
        <v>186</v>
      </c>
      <c r="O126" t="s">
        <v>189</v>
      </c>
    </row>
    <row r="127" spans="1:15" ht="15.75" customHeight="1" x14ac:dyDescent="0.2">
      <c r="A127" t="s">
        <v>366</v>
      </c>
      <c r="B127" t="s">
        <v>263</v>
      </c>
      <c r="C127" t="s">
        <v>264</v>
      </c>
      <c r="D127" t="s">
        <v>336</v>
      </c>
      <c r="E127" t="s">
        <v>82</v>
      </c>
      <c r="F127" t="s">
        <v>87</v>
      </c>
      <c r="G127">
        <v>110</v>
      </c>
      <c r="H127">
        <v>224</v>
      </c>
      <c r="I127">
        <v>24640</v>
      </c>
      <c r="J127">
        <v>15644</v>
      </c>
      <c r="K127">
        <v>8996</v>
      </c>
      <c r="L127">
        <v>26845</v>
      </c>
      <c r="M127">
        <v>-2205</v>
      </c>
      <c r="N127" t="s">
        <v>322</v>
      </c>
      <c r="O127" t="s">
        <v>189</v>
      </c>
    </row>
    <row r="128" spans="1:15" ht="15.75" customHeight="1" x14ac:dyDescent="0.2">
      <c r="A128" t="s">
        <v>393</v>
      </c>
      <c r="B128" t="s">
        <v>333</v>
      </c>
      <c r="C128" t="s">
        <v>383</v>
      </c>
      <c r="D128" t="s">
        <v>391</v>
      </c>
      <c r="E128" t="s">
        <v>318</v>
      </c>
      <c r="F128" t="s">
        <v>74</v>
      </c>
      <c r="G128">
        <v>278</v>
      </c>
      <c r="H128">
        <v>1460</v>
      </c>
      <c r="I128">
        <v>405880</v>
      </c>
      <c r="J128">
        <v>283477</v>
      </c>
      <c r="K128">
        <v>122403</v>
      </c>
      <c r="L128">
        <v>393277</v>
      </c>
      <c r="M128">
        <v>12603</v>
      </c>
      <c r="N128" t="s">
        <v>319</v>
      </c>
      <c r="O128" t="s">
        <v>320</v>
      </c>
    </row>
    <row r="129" spans="1:15" ht="15.75" customHeight="1" x14ac:dyDescent="0.2">
      <c r="A129" t="s">
        <v>176</v>
      </c>
      <c r="B129" t="s">
        <v>338</v>
      </c>
      <c r="C129" t="s">
        <v>350</v>
      </c>
      <c r="D129" t="s">
        <v>355</v>
      </c>
      <c r="E129" t="s">
        <v>71</v>
      </c>
      <c r="F129" t="s">
        <v>70</v>
      </c>
      <c r="G129">
        <v>272</v>
      </c>
      <c r="H129">
        <v>904</v>
      </c>
      <c r="I129">
        <v>245888</v>
      </c>
      <c r="J129">
        <v>141673</v>
      </c>
      <c r="K129">
        <v>104215</v>
      </c>
      <c r="L129">
        <v>235161</v>
      </c>
      <c r="M129">
        <v>10727</v>
      </c>
      <c r="N129" t="s">
        <v>186</v>
      </c>
      <c r="O129" t="s">
        <v>331</v>
      </c>
    </row>
    <row r="130" spans="1:15" ht="15.75" customHeight="1" x14ac:dyDescent="0.2">
      <c r="A130" t="s">
        <v>411</v>
      </c>
      <c r="B130" t="s">
        <v>263</v>
      </c>
      <c r="C130" t="s">
        <v>347</v>
      </c>
      <c r="D130" t="s">
        <v>336</v>
      </c>
      <c r="E130" t="s">
        <v>82</v>
      </c>
      <c r="F130" t="s">
        <v>81</v>
      </c>
      <c r="G130">
        <v>455</v>
      </c>
      <c r="H130">
        <v>1945</v>
      </c>
      <c r="I130">
        <v>884975</v>
      </c>
      <c r="J130">
        <v>459722</v>
      </c>
      <c r="K130">
        <v>425253</v>
      </c>
      <c r="L130">
        <v>881523</v>
      </c>
      <c r="M130">
        <v>3452</v>
      </c>
      <c r="N130" t="s">
        <v>186</v>
      </c>
      <c r="O130" t="s">
        <v>331</v>
      </c>
    </row>
    <row r="131" spans="1:15" ht="15.75" customHeight="1" x14ac:dyDescent="0.2">
      <c r="A131" t="s">
        <v>115</v>
      </c>
      <c r="B131" t="s">
        <v>328</v>
      </c>
      <c r="C131" t="s">
        <v>367</v>
      </c>
      <c r="D131" t="s">
        <v>360</v>
      </c>
      <c r="E131" t="s">
        <v>325</v>
      </c>
      <c r="F131" t="s">
        <v>306</v>
      </c>
      <c r="G131">
        <v>82</v>
      </c>
      <c r="H131">
        <v>1649</v>
      </c>
      <c r="I131">
        <v>135218</v>
      </c>
      <c r="J131">
        <v>78515</v>
      </c>
      <c r="K131">
        <v>56703</v>
      </c>
      <c r="L131">
        <v>137704</v>
      </c>
      <c r="M131">
        <v>-2486</v>
      </c>
      <c r="N131" t="s">
        <v>341</v>
      </c>
      <c r="O131" t="s">
        <v>331</v>
      </c>
    </row>
    <row r="132" spans="1:15" ht="15.75" customHeight="1" x14ac:dyDescent="0.2">
      <c r="A132" t="s">
        <v>237</v>
      </c>
      <c r="B132" t="s">
        <v>271</v>
      </c>
      <c r="C132" t="s">
        <v>309</v>
      </c>
      <c r="D132" t="s">
        <v>307</v>
      </c>
      <c r="E132" t="s">
        <v>71</v>
      </c>
      <c r="F132" t="s">
        <v>87</v>
      </c>
      <c r="G132">
        <v>418</v>
      </c>
      <c r="H132">
        <v>297</v>
      </c>
      <c r="I132">
        <v>124146</v>
      </c>
      <c r="J132">
        <v>63447</v>
      </c>
      <c r="K132">
        <v>60699</v>
      </c>
      <c r="L132">
        <v>112299</v>
      </c>
      <c r="M132">
        <v>11847</v>
      </c>
      <c r="N132" t="s">
        <v>322</v>
      </c>
      <c r="O132" t="s">
        <v>331</v>
      </c>
    </row>
    <row r="133" spans="1:15" ht="15.75" customHeight="1" x14ac:dyDescent="0.2">
      <c r="A133" t="s">
        <v>396</v>
      </c>
      <c r="B133" t="s">
        <v>338</v>
      </c>
      <c r="C133" t="s">
        <v>345</v>
      </c>
      <c r="D133" t="s">
        <v>340</v>
      </c>
      <c r="E133" t="s">
        <v>325</v>
      </c>
      <c r="F133" t="s">
        <v>70</v>
      </c>
      <c r="G133">
        <v>217</v>
      </c>
      <c r="H133">
        <v>1120</v>
      </c>
      <c r="I133">
        <v>243040</v>
      </c>
      <c r="J133">
        <v>193223</v>
      </c>
      <c r="K133">
        <v>49817</v>
      </c>
      <c r="L133">
        <v>223270</v>
      </c>
      <c r="M133">
        <v>19770</v>
      </c>
      <c r="N133" t="s">
        <v>319</v>
      </c>
      <c r="O133" t="s">
        <v>331</v>
      </c>
    </row>
    <row r="134" spans="1:15" ht="15.75" customHeight="1" x14ac:dyDescent="0.2">
      <c r="A134" t="s">
        <v>412</v>
      </c>
      <c r="B134" t="s">
        <v>333</v>
      </c>
      <c r="C134" t="s">
        <v>265</v>
      </c>
      <c r="D134" t="s">
        <v>360</v>
      </c>
      <c r="E134" t="s">
        <v>82</v>
      </c>
      <c r="F134" t="s">
        <v>70</v>
      </c>
      <c r="G134">
        <v>487</v>
      </c>
      <c r="H134">
        <v>210</v>
      </c>
      <c r="I134">
        <v>102270</v>
      </c>
      <c r="J134">
        <v>59148</v>
      </c>
      <c r="K134">
        <v>43122</v>
      </c>
      <c r="L134">
        <v>87024</v>
      </c>
      <c r="M134">
        <v>15246</v>
      </c>
      <c r="N134" t="s">
        <v>341</v>
      </c>
      <c r="O134" t="s">
        <v>331</v>
      </c>
    </row>
    <row r="135" spans="1:15" ht="15.75" customHeight="1" x14ac:dyDescent="0.2">
      <c r="A135" t="s">
        <v>104</v>
      </c>
      <c r="B135" t="s">
        <v>271</v>
      </c>
      <c r="C135" t="s">
        <v>272</v>
      </c>
      <c r="D135" t="s">
        <v>317</v>
      </c>
      <c r="E135" t="s">
        <v>82</v>
      </c>
      <c r="F135" t="s">
        <v>306</v>
      </c>
      <c r="G135">
        <v>443</v>
      </c>
      <c r="H135">
        <v>1229</v>
      </c>
      <c r="I135">
        <v>544447</v>
      </c>
      <c r="J135">
        <v>425097</v>
      </c>
      <c r="K135">
        <v>119350</v>
      </c>
      <c r="L135">
        <v>556088</v>
      </c>
      <c r="M135">
        <v>-11641</v>
      </c>
      <c r="N135" t="s">
        <v>341</v>
      </c>
      <c r="O135" t="s">
        <v>189</v>
      </c>
    </row>
    <row r="136" spans="1:15" ht="15.75" customHeight="1" x14ac:dyDescent="0.2">
      <c r="A136" t="s">
        <v>117</v>
      </c>
      <c r="B136" t="s">
        <v>271</v>
      </c>
      <c r="C136" t="s">
        <v>272</v>
      </c>
      <c r="D136" t="s">
        <v>308</v>
      </c>
      <c r="E136" t="s">
        <v>82</v>
      </c>
      <c r="F136" t="s">
        <v>306</v>
      </c>
      <c r="G136">
        <v>14</v>
      </c>
      <c r="H136">
        <v>1445</v>
      </c>
      <c r="I136">
        <v>20230</v>
      </c>
      <c r="J136">
        <v>12118</v>
      </c>
      <c r="K136">
        <v>8112</v>
      </c>
      <c r="L136">
        <v>39795</v>
      </c>
      <c r="M136">
        <v>-19565</v>
      </c>
      <c r="N136" t="s">
        <v>186</v>
      </c>
      <c r="O136" t="s">
        <v>320</v>
      </c>
    </row>
    <row r="137" spans="1:15" ht="15.75" customHeight="1" x14ac:dyDescent="0.2">
      <c r="A137" t="s">
        <v>126</v>
      </c>
      <c r="B137" t="s">
        <v>338</v>
      </c>
      <c r="C137" t="s">
        <v>348</v>
      </c>
      <c r="D137" t="s">
        <v>77</v>
      </c>
      <c r="E137" t="s">
        <v>325</v>
      </c>
      <c r="F137" t="s">
        <v>70</v>
      </c>
      <c r="G137">
        <v>65</v>
      </c>
      <c r="H137">
        <v>197</v>
      </c>
      <c r="I137">
        <v>12805</v>
      </c>
      <c r="J137">
        <v>6562</v>
      </c>
      <c r="K137">
        <v>6243</v>
      </c>
      <c r="L137">
        <v>-1630</v>
      </c>
      <c r="M137">
        <v>14435</v>
      </c>
      <c r="N137" t="s">
        <v>319</v>
      </c>
      <c r="O137" t="s">
        <v>331</v>
      </c>
    </row>
    <row r="138" spans="1:15" ht="15.75" customHeight="1" x14ac:dyDescent="0.2">
      <c r="A138" t="s">
        <v>413</v>
      </c>
      <c r="B138" t="s">
        <v>333</v>
      </c>
      <c r="C138" t="s">
        <v>265</v>
      </c>
      <c r="D138" t="s">
        <v>308</v>
      </c>
      <c r="E138" t="s">
        <v>71</v>
      </c>
      <c r="F138" t="s">
        <v>81</v>
      </c>
      <c r="G138">
        <v>472</v>
      </c>
      <c r="H138">
        <v>967</v>
      </c>
      <c r="I138">
        <v>456424</v>
      </c>
      <c r="J138">
        <v>250006</v>
      </c>
      <c r="K138">
        <v>206418</v>
      </c>
      <c r="L138">
        <v>449094</v>
      </c>
      <c r="M138">
        <v>7330</v>
      </c>
      <c r="N138" t="s">
        <v>319</v>
      </c>
      <c r="O138" t="s">
        <v>189</v>
      </c>
    </row>
    <row r="139" spans="1:15" ht="15.75" customHeight="1" x14ac:dyDescent="0.2">
      <c r="A139" t="s">
        <v>162</v>
      </c>
      <c r="B139" t="s">
        <v>263</v>
      </c>
      <c r="C139" t="s">
        <v>276</v>
      </c>
      <c r="D139" t="s">
        <v>223</v>
      </c>
      <c r="E139" t="s">
        <v>71</v>
      </c>
      <c r="F139" t="s">
        <v>74</v>
      </c>
      <c r="G139">
        <v>16</v>
      </c>
      <c r="H139">
        <v>1977</v>
      </c>
      <c r="I139">
        <v>31632</v>
      </c>
      <c r="J139">
        <v>21668</v>
      </c>
      <c r="K139">
        <v>9964</v>
      </c>
      <c r="L139">
        <v>17466</v>
      </c>
      <c r="M139">
        <v>14166</v>
      </c>
      <c r="N139" t="s">
        <v>322</v>
      </c>
      <c r="O139" t="s">
        <v>326</v>
      </c>
    </row>
    <row r="140" spans="1:15" ht="15.75" customHeight="1" x14ac:dyDescent="0.2">
      <c r="A140" t="s">
        <v>414</v>
      </c>
      <c r="B140" t="s">
        <v>271</v>
      </c>
      <c r="C140" t="s">
        <v>309</v>
      </c>
      <c r="D140" t="s">
        <v>330</v>
      </c>
      <c r="E140" t="s">
        <v>82</v>
      </c>
      <c r="F140" t="s">
        <v>81</v>
      </c>
      <c r="G140">
        <v>319</v>
      </c>
      <c r="H140">
        <v>733</v>
      </c>
      <c r="I140">
        <v>233827</v>
      </c>
      <c r="J140">
        <v>183340</v>
      </c>
      <c r="K140">
        <v>50487</v>
      </c>
      <c r="L140">
        <v>232434</v>
      </c>
      <c r="M140">
        <v>1393</v>
      </c>
      <c r="N140" t="s">
        <v>341</v>
      </c>
      <c r="O140" t="s">
        <v>326</v>
      </c>
    </row>
    <row r="141" spans="1:15" ht="15.75" customHeight="1" x14ac:dyDescent="0.2">
      <c r="A141" t="s">
        <v>158</v>
      </c>
      <c r="B141" t="s">
        <v>338</v>
      </c>
      <c r="C141" t="s">
        <v>350</v>
      </c>
      <c r="D141" t="s">
        <v>340</v>
      </c>
      <c r="E141" t="s">
        <v>82</v>
      </c>
      <c r="F141" t="s">
        <v>92</v>
      </c>
      <c r="G141">
        <v>75</v>
      </c>
      <c r="H141">
        <v>1358</v>
      </c>
      <c r="I141">
        <v>101850</v>
      </c>
      <c r="J141">
        <v>74081</v>
      </c>
      <c r="K141">
        <v>27769</v>
      </c>
      <c r="L141">
        <v>83906</v>
      </c>
      <c r="M141">
        <v>17944</v>
      </c>
      <c r="N141" t="s">
        <v>341</v>
      </c>
      <c r="O141" t="s">
        <v>331</v>
      </c>
    </row>
    <row r="142" spans="1:15" ht="15.75" customHeight="1" x14ac:dyDescent="0.2">
      <c r="A142" t="s">
        <v>415</v>
      </c>
      <c r="B142" t="s">
        <v>271</v>
      </c>
      <c r="C142" t="s">
        <v>309</v>
      </c>
      <c r="D142" t="s">
        <v>324</v>
      </c>
      <c r="E142" t="s">
        <v>82</v>
      </c>
      <c r="F142" t="s">
        <v>81</v>
      </c>
      <c r="G142">
        <v>472</v>
      </c>
      <c r="H142">
        <v>1264</v>
      </c>
      <c r="I142">
        <v>596608</v>
      </c>
      <c r="J142">
        <v>495512</v>
      </c>
      <c r="K142">
        <v>101096</v>
      </c>
      <c r="L142">
        <v>579567</v>
      </c>
      <c r="M142">
        <v>17041</v>
      </c>
      <c r="N142" t="s">
        <v>322</v>
      </c>
      <c r="O142" t="s">
        <v>326</v>
      </c>
    </row>
    <row r="143" spans="1:15" ht="15.75" customHeight="1" x14ac:dyDescent="0.2">
      <c r="A143" t="s">
        <v>416</v>
      </c>
      <c r="B143" t="s">
        <v>333</v>
      </c>
      <c r="C143" t="s">
        <v>311</v>
      </c>
      <c r="D143" t="s">
        <v>346</v>
      </c>
      <c r="E143" t="s">
        <v>325</v>
      </c>
      <c r="F143" t="s">
        <v>306</v>
      </c>
      <c r="G143">
        <v>200</v>
      </c>
      <c r="H143">
        <v>1802</v>
      </c>
      <c r="I143">
        <v>360400</v>
      </c>
      <c r="J143">
        <v>239481</v>
      </c>
      <c r="K143">
        <v>120919</v>
      </c>
      <c r="L143">
        <v>346354</v>
      </c>
      <c r="M143">
        <v>14046</v>
      </c>
      <c r="N143" t="s">
        <v>322</v>
      </c>
      <c r="O143" t="s">
        <v>189</v>
      </c>
    </row>
    <row r="144" spans="1:15" ht="15.75" customHeight="1" x14ac:dyDescent="0.2">
      <c r="A144" t="s">
        <v>417</v>
      </c>
      <c r="B144" t="s">
        <v>338</v>
      </c>
      <c r="C144" t="s">
        <v>339</v>
      </c>
      <c r="D144" t="s">
        <v>324</v>
      </c>
      <c r="E144" t="s">
        <v>82</v>
      </c>
      <c r="F144" t="s">
        <v>70</v>
      </c>
      <c r="G144">
        <v>142</v>
      </c>
      <c r="H144">
        <v>976</v>
      </c>
      <c r="I144">
        <v>138592</v>
      </c>
      <c r="J144">
        <v>82865</v>
      </c>
      <c r="K144">
        <v>55727</v>
      </c>
      <c r="L144">
        <v>155727</v>
      </c>
      <c r="M144">
        <v>-17135</v>
      </c>
      <c r="N144" t="s">
        <v>341</v>
      </c>
      <c r="O144" t="s">
        <v>326</v>
      </c>
    </row>
    <row r="145" spans="1:15" ht="15.75" customHeight="1" x14ac:dyDescent="0.2">
      <c r="A145" t="s">
        <v>372</v>
      </c>
      <c r="B145" t="s">
        <v>338</v>
      </c>
      <c r="C145" t="s">
        <v>348</v>
      </c>
      <c r="D145" t="s">
        <v>346</v>
      </c>
      <c r="E145" t="s">
        <v>325</v>
      </c>
      <c r="F145" t="s">
        <v>306</v>
      </c>
      <c r="G145">
        <v>257</v>
      </c>
      <c r="H145">
        <v>825</v>
      </c>
      <c r="I145">
        <v>212025</v>
      </c>
      <c r="J145">
        <v>171507</v>
      </c>
      <c r="K145">
        <v>40518</v>
      </c>
      <c r="L145">
        <v>222710</v>
      </c>
      <c r="M145">
        <v>-10685</v>
      </c>
      <c r="N145" t="s">
        <v>322</v>
      </c>
      <c r="O145" t="s">
        <v>326</v>
      </c>
    </row>
    <row r="146" spans="1:15" ht="15.75" customHeight="1" x14ac:dyDescent="0.2">
      <c r="A146" t="s">
        <v>327</v>
      </c>
      <c r="B146" t="s">
        <v>328</v>
      </c>
      <c r="C146" t="s">
        <v>359</v>
      </c>
      <c r="D146" t="s">
        <v>371</v>
      </c>
      <c r="E146" t="s">
        <v>325</v>
      </c>
      <c r="F146" t="s">
        <v>81</v>
      </c>
      <c r="G146">
        <v>390</v>
      </c>
      <c r="H146">
        <v>423</v>
      </c>
      <c r="I146">
        <v>164970</v>
      </c>
      <c r="J146">
        <v>134241</v>
      </c>
      <c r="K146">
        <v>30729</v>
      </c>
      <c r="L146">
        <v>158133</v>
      </c>
      <c r="M146">
        <v>6837</v>
      </c>
      <c r="N146" t="s">
        <v>186</v>
      </c>
      <c r="O146" t="s">
        <v>331</v>
      </c>
    </row>
    <row r="147" spans="1:15" ht="15.75" customHeight="1" x14ac:dyDescent="0.2">
      <c r="A147" t="s">
        <v>418</v>
      </c>
      <c r="B147" t="s">
        <v>328</v>
      </c>
      <c r="C147" t="s">
        <v>367</v>
      </c>
      <c r="D147" t="s">
        <v>77</v>
      </c>
      <c r="E147" t="s">
        <v>318</v>
      </c>
      <c r="F147" t="s">
        <v>87</v>
      </c>
      <c r="G147">
        <v>242</v>
      </c>
      <c r="H147">
        <v>1751</v>
      </c>
      <c r="I147">
        <v>423742</v>
      </c>
      <c r="J147">
        <v>308747</v>
      </c>
      <c r="K147">
        <v>114995</v>
      </c>
      <c r="L147">
        <v>437378</v>
      </c>
      <c r="M147">
        <v>-13636</v>
      </c>
      <c r="N147" t="s">
        <v>186</v>
      </c>
      <c r="O147" t="s">
        <v>331</v>
      </c>
    </row>
    <row r="148" spans="1:15" ht="15.75" customHeight="1" x14ac:dyDescent="0.2">
      <c r="A148" t="s">
        <v>419</v>
      </c>
      <c r="B148" t="s">
        <v>333</v>
      </c>
      <c r="C148" t="s">
        <v>370</v>
      </c>
      <c r="D148" t="s">
        <v>223</v>
      </c>
      <c r="E148" t="s">
        <v>325</v>
      </c>
      <c r="F148" t="s">
        <v>74</v>
      </c>
      <c r="G148">
        <v>111</v>
      </c>
      <c r="H148">
        <v>1601</v>
      </c>
      <c r="I148">
        <v>177711</v>
      </c>
      <c r="J148">
        <v>107421</v>
      </c>
      <c r="K148">
        <v>70290</v>
      </c>
      <c r="L148">
        <v>169010</v>
      </c>
      <c r="M148">
        <v>8701</v>
      </c>
      <c r="N148" t="s">
        <v>341</v>
      </c>
      <c r="O148" t="s">
        <v>331</v>
      </c>
    </row>
    <row r="149" spans="1:15" ht="15.75" customHeight="1" x14ac:dyDescent="0.2">
      <c r="A149" t="s">
        <v>139</v>
      </c>
      <c r="B149" t="s">
        <v>271</v>
      </c>
      <c r="C149" t="s">
        <v>270</v>
      </c>
      <c r="D149" t="s">
        <v>355</v>
      </c>
      <c r="E149" t="s">
        <v>71</v>
      </c>
      <c r="F149" t="s">
        <v>74</v>
      </c>
      <c r="G149">
        <v>172</v>
      </c>
      <c r="H149">
        <v>1908</v>
      </c>
      <c r="I149">
        <v>328176</v>
      </c>
      <c r="J149">
        <v>182771</v>
      </c>
      <c r="K149">
        <v>145405</v>
      </c>
      <c r="L149">
        <v>335267</v>
      </c>
      <c r="M149">
        <v>-7091</v>
      </c>
      <c r="N149" t="s">
        <v>341</v>
      </c>
      <c r="O149" t="s">
        <v>189</v>
      </c>
    </row>
    <row r="150" spans="1:15" ht="15.75" customHeight="1" x14ac:dyDescent="0.2">
      <c r="A150" t="s">
        <v>400</v>
      </c>
      <c r="B150" t="s">
        <v>333</v>
      </c>
      <c r="C150" t="s">
        <v>383</v>
      </c>
      <c r="D150" t="s">
        <v>360</v>
      </c>
      <c r="E150" t="s">
        <v>71</v>
      </c>
      <c r="F150" t="s">
        <v>199</v>
      </c>
      <c r="G150">
        <v>208</v>
      </c>
      <c r="H150">
        <v>343</v>
      </c>
      <c r="I150">
        <v>71344</v>
      </c>
      <c r="J150">
        <v>46176</v>
      </c>
      <c r="K150">
        <v>25168</v>
      </c>
      <c r="L150">
        <v>65664</v>
      </c>
      <c r="M150">
        <v>5680</v>
      </c>
      <c r="N150" t="s">
        <v>319</v>
      </c>
      <c r="O150" t="s">
        <v>189</v>
      </c>
    </row>
    <row r="151" spans="1:15" ht="15.75" customHeight="1" x14ac:dyDescent="0.2">
      <c r="A151" t="s">
        <v>420</v>
      </c>
      <c r="B151" t="s">
        <v>333</v>
      </c>
      <c r="C151" t="s">
        <v>383</v>
      </c>
      <c r="D151" t="s">
        <v>273</v>
      </c>
      <c r="E151" t="s">
        <v>71</v>
      </c>
      <c r="F151" t="s">
        <v>74</v>
      </c>
      <c r="G151">
        <v>439</v>
      </c>
      <c r="H151">
        <v>790</v>
      </c>
      <c r="I151">
        <v>346810</v>
      </c>
      <c r="J151">
        <v>208033</v>
      </c>
      <c r="K151">
        <v>138777</v>
      </c>
      <c r="L151">
        <v>337726</v>
      </c>
      <c r="M151">
        <v>9084</v>
      </c>
      <c r="N151" t="s">
        <v>319</v>
      </c>
      <c r="O151" t="s">
        <v>331</v>
      </c>
    </row>
    <row r="152" spans="1:15" ht="15.75" customHeight="1" x14ac:dyDescent="0.2">
      <c r="A152" t="s">
        <v>112</v>
      </c>
      <c r="B152" t="s">
        <v>263</v>
      </c>
      <c r="C152" t="s">
        <v>347</v>
      </c>
      <c r="D152" t="s">
        <v>335</v>
      </c>
      <c r="E152" t="s">
        <v>318</v>
      </c>
      <c r="F152" t="s">
        <v>87</v>
      </c>
      <c r="G152">
        <v>169</v>
      </c>
      <c r="H152">
        <v>1791</v>
      </c>
      <c r="I152">
        <v>302679</v>
      </c>
      <c r="J152">
        <v>180392</v>
      </c>
      <c r="K152">
        <v>122287</v>
      </c>
      <c r="L152">
        <v>304582</v>
      </c>
      <c r="M152">
        <v>-1903</v>
      </c>
      <c r="N152" t="s">
        <v>341</v>
      </c>
      <c r="O152" t="s">
        <v>189</v>
      </c>
    </row>
    <row r="153" spans="1:15" ht="15.75" customHeight="1" x14ac:dyDescent="0.2">
      <c r="A153" t="s">
        <v>344</v>
      </c>
      <c r="B153" t="s">
        <v>328</v>
      </c>
      <c r="C153" t="s">
        <v>283</v>
      </c>
      <c r="D153" t="s">
        <v>73</v>
      </c>
      <c r="E153" t="s">
        <v>71</v>
      </c>
      <c r="F153" t="s">
        <v>81</v>
      </c>
      <c r="G153">
        <v>397</v>
      </c>
      <c r="H153">
        <v>1234</v>
      </c>
      <c r="I153">
        <v>489898</v>
      </c>
      <c r="J153">
        <v>289960</v>
      </c>
      <c r="K153">
        <v>199938</v>
      </c>
      <c r="L153">
        <v>485217</v>
      </c>
      <c r="M153">
        <v>4681</v>
      </c>
      <c r="N153" t="s">
        <v>322</v>
      </c>
      <c r="O153" t="s">
        <v>189</v>
      </c>
    </row>
    <row r="154" spans="1:15" ht="15.75" customHeight="1" x14ac:dyDescent="0.2">
      <c r="A154" t="s">
        <v>415</v>
      </c>
      <c r="B154" t="s">
        <v>333</v>
      </c>
      <c r="C154" t="s">
        <v>265</v>
      </c>
      <c r="D154" t="s">
        <v>77</v>
      </c>
      <c r="E154" t="s">
        <v>325</v>
      </c>
      <c r="F154" t="s">
        <v>356</v>
      </c>
      <c r="G154">
        <v>242</v>
      </c>
      <c r="H154">
        <v>1863</v>
      </c>
      <c r="I154">
        <v>450846</v>
      </c>
      <c r="J154">
        <v>251830</v>
      </c>
      <c r="K154">
        <v>199016</v>
      </c>
      <c r="L154">
        <v>454239</v>
      </c>
      <c r="M154">
        <v>-3393</v>
      </c>
      <c r="N154" t="s">
        <v>341</v>
      </c>
      <c r="O154" t="s">
        <v>320</v>
      </c>
    </row>
    <row r="155" spans="1:15" ht="15.75" customHeight="1" x14ac:dyDescent="0.2">
      <c r="A155" t="s">
        <v>421</v>
      </c>
      <c r="B155" t="s">
        <v>263</v>
      </c>
      <c r="C155" t="s">
        <v>347</v>
      </c>
      <c r="D155" t="s">
        <v>330</v>
      </c>
      <c r="E155" t="s">
        <v>82</v>
      </c>
      <c r="F155" t="s">
        <v>87</v>
      </c>
      <c r="G155">
        <v>493</v>
      </c>
      <c r="H155">
        <v>1800</v>
      </c>
      <c r="I155">
        <v>887400</v>
      </c>
      <c r="J155">
        <v>500907</v>
      </c>
      <c r="K155">
        <v>386493</v>
      </c>
      <c r="L155">
        <v>887883</v>
      </c>
      <c r="M155">
        <v>-483</v>
      </c>
      <c r="N155" t="s">
        <v>186</v>
      </c>
      <c r="O155" t="s">
        <v>331</v>
      </c>
    </row>
    <row r="156" spans="1:15" ht="15.75" customHeight="1" x14ac:dyDescent="0.2">
      <c r="A156" t="s">
        <v>159</v>
      </c>
      <c r="B156" t="s">
        <v>328</v>
      </c>
      <c r="C156" t="s">
        <v>329</v>
      </c>
      <c r="D156" t="s">
        <v>273</v>
      </c>
      <c r="E156" t="s">
        <v>82</v>
      </c>
      <c r="F156" t="s">
        <v>74</v>
      </c>
      <c r="G156">
        <v>327</v>
      </c>
      <c r="H156">
        <v>651</v>
      </c>
      <c r="I156">
        <v>212877</v>
      </c>
      <c r="J156">
        <v>151141</v>
      </c>
      <c r="K156">
        <v>61736</v>
      </c>
      <c r="L156">
        <v>202024</v>
      </c>
      <c r="M156">
        <v>10853</v>
      </c>
      <c r="N156" t="s">
        <v>186</v>
      </c>
      <c r="O156" t="s">
        <v>331</v>
      </c>
    </row>
    <row r="157" spans="1:15" ht="15.75" customHeight="1" x14ac:dyDescent="0.2">
      <c r="A157" t="s">
        <v>237</v>
      </c>
      <c r="B157" t="s">
        <v>328</v>
      </c>
      <c r="C157" t="s">
        <v>329</v>
      </c>
      <c r="D157" t="s">
        <v>308</v>
      </c>
      <c r="E157" t="s">
        <v>82</v>
      </c>
      <c r="F157" t="s">
        <v>87</v>
      </c>
      <c r="G157">
        <v>409</v>
      </c>
      <c r="H157">
        <v>1067</v>
      </c>
      <c r="I157">
        <v>436403</v>
      </c>
      <c r="J157">
        <v>319425</v>
      </c>
      <c r="K157">
        <v>116978</v>
      </c>
      <c r="L157">
        <v>424744</v>
      </c>
      <c r="M157">
        <v>11659</v>
      </c>
      <c r="N157" t="s">
        <v>322</v>
      </c>
      <c r="O157" t="s">
        <v>320</v>
      </c>
    </row>
    <row r="158" spans="1:15" ht="15.75" customHeight="1" x14ac:dyDescent="0.2">
      <c r="A158" t="s">
        <v>422</v>
      </c>
      <c r="B158" t="s">
        <v>333</v>
      </c>
      <c r="C158" t="s">
        <v>269</v>
      </c>
      <c r="D158" t="s">
        <v>69</v>
      </c>
      <c r="E158" t="s">
        <v>325</v>
      </c>
      <c r="F158" t="s">
        <v>92</v>
      </c>
      <c r="G158">
        <v>428</v>
      </c>
      <c r="H158">
        <v>1715</v>
      </c>
      <c r="I158">
        <v>734020</v>
      </c>
      <c r="J158">
        <v>509387</v>
      </c>
      <c r="K158">
        <v>224633</v>
      </c>
      <c r="L158">
        <v>735682</v>
      </c>
      <c r="M158">
        <v>-1662</v>
      </c>
      <c r="N158" t="s">
        <v>341</v>
      </c>
      <c r="O158" t="s">
        <v>189</v>
      </c>
    </row>
    <row r="159" spans="1:15" ht="15.75" customHeight="1" x14ac:dyDescent="0.2">
      <c r="A159" t="s">
        <v>382</v>
      </c>
      <c r="B159" t="s">
        <v>328</v>
      </c>
      <c r="C159" t="s">
        <v>367</v>
      </c>
      <c r="D159" t="s">
        <v>336</v>
      </c>
      <c r="E159" t="s">
        <v>325</v>
      </c>
      <c r="F159" t="s">
        <v>92</v>
      </c>
      <c r="G159">
        <v>30</v>
      </c>
      <c r="H159">
        <v>1966</v>
      </c>
      <c r="I159">
        <v>58980</v>
      </c>
      <c r="J159">
        <v>38061</v>
      </c>
      <c r="K159">
        <v>20919</v>
      </c>
      <c r="L159">
        <v>55767</v>
      </c>
      <c r="M159">
        <v>3213</v>
      </c>
      <c r="N159" t="s">
        <v>186</v>
      </c>
      <c r="O159" t="s">
        <v>326</v>
      </c>
    </row>
    <row r="160" spans="1:15" ht="15.75" customHeight="1" x14ac:dyDescent="0.2">
      <c r="A160" t="s">
        <v>423</v>
      </c>
      <c r="B160" t="s">
        <v>263</v>
      </c>
      <c r="C160" t="s">
        <v>280</v>
      </c>
      <c r="D160" t="s">
        <v>84</v>
      </c>
      <c r="E160" t="s">
        <v>82</v>
      </c>
      <c r="F160" t="s">
        <v>92</v>
      </c>
      <c r="G160">
        <v>301</v>
      </c>
      <c r="H160">
        <v>1517</v>
      </c>
      <c r="I160">
        <v>456617</v>
      </c>
      <c r="J160">
        <v>265036</v>
      </c>
      <c r="K160">
        <v>191581</v>
      </c>
      <c r="L160">
        <v>444812</v>
      </c>
      <c r="M160">
        <v>11805</v>
      </c>
      <c r="N160" t="s">
        <v>186</v>
      </c>
      <c r="O160" t="s">
        <v>320</v>
      </c>
    </row>
    <row r="161" spans="1:15" ht="15.75" customHeight="1" x14ac:dyDescent="0.2">
      <c r="A161" t="s">
        <v>424</v>
      </c>
      <c r="B161" t="s">
        <v>333</v>
      </c>
      <c r="C161" t="s">
        <v>383</v>
      </c>
      <c r="D161" t="s">
        <v>223</v>
      </c>
      <c r="E161" t="s">
        <v>71</v>
      </c>
      <c r="F161" t="s">
        <v>74</v>
      </c>
      <c r="G161">
        <v>116</v>
      </c>
      <c r="H161">
        <v>1082</v>
      </c>
      <c r="I161">
        <v>125512</v>
      </c>
      <c r="J161">
        <v>72455</v>
      </c>
      <c r="K161">
        <v>53057</v>
      </c>
      <c r="L161">
        <v>124014</v>
      </c>
      <c r="M161">
        <v>1498</v>
      </c>
      <c r="N161" t="s">
        <v>186</v>
      </c>
      <c r="O161" t="s">
        <v>331</v>
      </c>
    </row>
    <row r="162" spans="1:15" ht="15.75" customHeight="1" x14ac:dyDescent="0.2">
      <c r="A162" t="s">
        <v>425</v>
      </c>
      <c r="B162" t="s">
        <v>271</v>
      </c>
      <c r="C162" t="s">
        <v>272</v>
      </c>
      <c r="D162" t="s">
        <v>335</v>
      </c>
      <c r="E162" t="s">
        <v>82</v>
      </c>
      <c r="F162" t="s">
        <v>199</v>
      </c>
      <c r="G162">
        <v>222</v>
      </c>
      <c r="H162">
        <v>1467</v>
      </c>
      <c r="I162">
        <v>325674</v>
      </c>
      <c r="J162">
        <v>178917</v>
      </c>
      <c r="K162">
        <v>146757</v>
      </c>
      <c r="L162">
        <v>336535</v>
      </c>
      <c r="M162">
        <v>-10861</v>
      </c>
      <c r="N162" t="s">
        <v>322</v>
      </c>
      <c r="O162" t="s">
        <v>331</v>
      </c>
    </row>
    <row r="163" spans="1:15" ht="15.75" customHeight="1" x14ac:dyDescent="0.2">
      <c r="A163" t="s">
        <v>135</v>
      </c>
      <c r="B163" t="s">
        <v>271</v>
      </c>
      <c r="C163" t="s">
        <v>270</v>
      </c>
      <c r="D163" t="s">
        <v>330</v>
      </c>
      <c r="E163" t="s">
        <v>318</v>
      </c>
      <c r="F163" t="s">
        <v>356</v>
      </c>
      <c r="G163">
        <v>169</v>
      </c>
      <c r="H163">
        <v>1253</v>
      </c>
      <c r="I163">
        <v>211757</v>
      </c>
      <c r="J163">
        <v>176946</v>
      </c>
      <c r="K163">
        <v>34811</v>
      </c>
      <c r="L163">
        <v>225690</v>
      </c>
      <c r="M163">
        <v>-13933</v>
      </c>
      <c r="N163" t="s">
        <v>186</v>
      </c>
      <c r="O163" t="s">
        <v>320</v>
      </c>
    </row>
    <row r="164" spans="1:15" ht="15.75" customHeight="1" x14ac:dyDescent="0.2">
      <c r="A164" t="s">
        <v>426</v>
      </c>
      <c r="B164" t="s">
        <v>338</v>
      </c>
      <c r="C164" t="s">
        <v>339</v>
      </c>
      <c r="D164" t="s">
        <v>95</v>
      </c>
      <c r="E164" t="s">
        <v>318</v>
      </c>
      <c r="F164" t="s">
        <v>199</v>
      </c>
      <c r="G164">
        <v>181</v>
      </c>
      <c r="H164">
        <v>578</v>
      </c>
      <c r="I164">
        <v>104618</v>
      </c>
      <c r="J164">
        <v>73361</v>
      </c>
      <c r="K164">
        <v>31257</v>
      </c>
      <c r="L164">
        <v>104250</v>
      </c>
      <c r="M164">
        <v>368</v>
      </c>
      <c r="N164" t="s">
        <v>186</v>
      </c>
      <c r="O164" t="s">
        <v>326</v>
      </c>
    </row>
    <row r="165" spans="1:15" ht="15.75" customHeight="1" x14ac:dyDescent="0.2">
      <c r="A165" t="s">
        <v>427</v>
      </c>
      <c r="B165" t="s">
        <v>263</v>
      </c>
      <c r="C165" t="s">
        <v>280</v>
      </c>
      <c r="D165" t="s">
        <v>308</v>
      </c>
      <c r="E165" t="s">
        <v>71</v>
      </c>
      <c r="F165" t="s">
        <v>74</v>
      </c>
      <c r="G165">
        <v>158</v>
      </c>
      <c r="H165">
        <v>318</v>
      </c>
      <c r="I165">
        <v>50244</v>
      </c>
      <c r="J165">
        <v>26398</v>
      </c>
      <c r="K165">
        <v>23846</v>
      </c>
      <c r="L165">
        <v>61136</v>
      </c>
      <c r="M165">
        <v>-10892</v>
      </c>
      <c r="N165" t="s">
        <v>319</v>
      </c>
      <c r="O165" t="s">
        <v>320</v>
      </c>
    </row>
    <row r="166" spans="1:15" ht="15.75" customHeight="1" x14ac:dyDescent="0.2">
      <c r="A166" t="s">
        <v>428</v>
      </c>
      <c r="B166" t="s">
        <v>328</v>
      </c>
      <c r="C166" t="s">
        <v>359</v>
      </c>
      <c r="D166" t="s">
        <v>77</v>
      </c>
      <c r="E166" t="s">
        <v>325</v>
      </c>
      <c r="F166" t="s">
        <v>306</v>
      </c>
      <c r="G166">
        <v>229</v>
      </c>
      <c r="H166">
        <v>1571</v>
      </c>
      <c r="I166">
        <v>359759</v>
      </c>
      <c r="J166">
        <v>298114</v>
      </c>
      <c r="K166">
        <v>61645</v>
      </c>
      <c r="L166">
        <v>374891</v>
      </c>
      <c r="M166">
        <v>-15132</v>
      </c>
      <c r="N166" t="s">
        <v>186</v>
      </c>
      <c r="O166" t="s">
        <v>320</v>
      </c>
    </row>
    <row r="167" spans="1:15" ht="15.75" customHeight="1" x14ac:dyDescent="0.2">
      <c r="A167" t="s">
        <v>429</v>
      </c>
      <c r="B167" t="s">
        <v>338</v>
      </c>
      <c r="C167" t="s">
        <v>348</v>
      </c>
      <c r="D167" t="s">
        <v>336</v>
      </c>
      <c r="E167" t="s">
        <v>318</v>
      </c>
      <c r="F167" t="s">
        <v>87</v>
      </c>
      <c r="G167">
        <v>60</v>
      </c>
      <c r="H167">
        <v>248</v>
      </c>
      <c r="I167">
        <v>14880</v>
      </c>
      <c r="J167">
        <v>10588</v>
      </c>
      <c r="K167">
        <v>4292</v>
      </c>
      <c r="L167">
        <v>15086</v>
      </c>
      <c r="M167">
        <v>-206</v>
      </c>
      <c r="N167" t="s">
        <v>319</v>
      </c>
      <c r="O167" t="s">
        <v>320</v>
      </c>
    </row>
    <row r="168" spans="1:15" ht="15.75" customHeight="1" x14ac:dyDescent="0.2">
      <c r="A168" t="s">
        <v>225</v>
      </c>
      <c r="B168" t="s">
        <v>328</v>
      </c>
      <c r="C168" t="s">
        <v>329</v>
      </c>
      <c r="D168" t="s">
        <v>223</v>
      </c>
      <c r="E168" t="s">
        <v>318</v>
      </c>
      <c r="F168" t="s">
        <v>306</v>
      </c>
      <c r="G168">
        <v>97</v>
      </c>
      <c r="H168">
        <v>1322</v>
      </c>
      <c r="I168">
        <v>128234</v>
      </c>
      <c r="J168">
        <v>91277</v>
      </c>
      <c r="K168">
        <v>36957</v>
      </c>
      <c r="L168">
        <v>132676</v>
      </c>
      <c r="M168">
        <v>-4442</v>
      </c>
      <c r="N168" t="s">
        <v>341</v>
      </c>
      <c r="O168" t="s">
        <v>189</v>
      </c>
    </row>
    <row r="169" spans="1:15" ht="15.75" customHeight="1" x14ac:dyDescent="0.2">
      <c r="A169" t="s">
        <v>430</v>
      </c>
      <c r="B169" t="s">
        <v>328</v>
      </c>
      <c r="C169" t="s">
        <v>329</v>
      </c>
      <c r="D169" t="s">
        <v>360</v>
      </c>
      <c r="E169" t="s">
        <v>71</v>
      </c>
      <c r="F169" t="s">
        <v>306</v>
      </c>
      <c r="G169">
        <v>205</v>
      </c>
      <c r="H169">
        <v>1085</v>
      </c>
      <c r="I169">
        <v>222425</v>
      </c>
      <c r="J169">
        <v>142444</v>
      </c>
      <c r="K169">
        <v>79981</v>
      </c>
      <c r="L169">
        <v>225308</v>
      </c>
      <c r="M169">
        <v>-2883</v>
      </c>
      <c r="N169" t="s">
        <v>322</v>
      </c>
      <c r="O169" t="s">
        <v>320</v>
      </c>
    </row>
    <row r="170" spans="1:15" ht="15.75" customHeight="1" x14ac:dyDescent="0.2">
      <c r="A170" t="s">
        <v>210</v>
      </c>
      <c r="B170" t="s">
        <v>271</v>
      </c>
      <c r="C170" t="s">
        <v>309</v>
      </c>
      <c r="D170" t="s">
        <v>308</v>
      </c>
      <c r="E170" t="s">
        <v>325</v>
      </c>
      <c r="F170" t="s">
        <v>74</v>
      </c>
      <c r="G170">
        <v>405</v>
      </c>
      <c r="H170">
        <v>724</v>
      </c>
      <c r="I170">
        <v>293220</v>
      </c>
      <c r="J170">
        <v>196655</v>
      </c>
      <c r="K170">
        <v>96565</v>
      </c>
      <c r="L170">
        <v>299940</v>
      </c>
      <c r="M170">
        <v>-6720</v>
      </c>
      <c r="N170" t="s">
        <v>341</v>
      </c>
      <c r="O170" t="s">
        <v>320</v>
      </c>
    </row>
    <row r="171" spans="1:15" ht="15.75" customHeight="1" x14ac:dyDescent="0.2">
      <c r="A171" t="s">
        <v>431</v>
      </c>
      <c r="B171" t="s">
        <v>271</v>
      </c>
      <c r="C171" t="s">
        <v>270</v>
      </c>
      <c r="D171" t="s">
        <v>340</v>
      </c>
      <c r="E171" t="s">
        <v>318</v>
      </c>
      <c r="F171" t="s">
        <v>92</v>
      </c>
      <c r="G171">
        <v>427</v>
      </c>
      <c r="H171">
        <v>849</v>
      </c>
      <c r="I171">
        <v>362523</v>
      </c>
      <c r="J171">
        <v>245220</v>
      </c>
      <c r="K171">
        <v>117303</v>
      </c>
      <c r="L171">
        <v>360298</v>
      </c>
      <c r="M171">
        <v>2225</v>
      </c>
      <c r="N171" t="s">
        <v>186</v>
      </c>
      <c r="O171" t="s">
        <v>320</v>
      </c>
    </row>
    <row r="172" spans="1:15" ht="15.75" customHeight="1" x14ac:dyDescent="0.2">
      <c r="A172" t="s">
        <v>119</v>
      </c>
      <c r="B172" t="s">
        <v>328</v>
      </c>
      <c r="C172" t="s">
        <v>283</v>
      </c>
      <c r="D172" t="s">
        <v>77</v>
      </c>
      <c r="E172" t="s">
        <v>82</v>
      </c>
      <c r="F172" t="s">
        <v>306</v>
      </c>
      <c r="G172">
        <v>16</v>
      </c>
      <c r="H172">
        <v>1363</v>
      </c>
      <c r="I172">
        <v>21808</v>
      </c>
      <c r="J172">
        <v>11092</v>
      </c>
      <c r="K172">
        <v>10716</v>
      </c>
      <c r="L172">
        <v>6429</v>
      </c>
      <c r="M172">
        <v>15379</v>
      </c>
      <c r="N172" t="s">
        <v>186</v>
      </c>
      <c r="O172" t="s">
        <v>189</v>
      </c>
    </row>
    <row r="173" spans="1:15" ht="15.75" customHeight="1" x14ac:dyDescent="0.2">
      <c r="A173" t="s">
        <v>290</v>
      </c>
      <c r="B173" t="s">
        <v>328</v>
      </c>
      <c r="C173" t="s">
        <v>359</v>
      </c>
      <c r="D173" t="s">
        <v>335</v>
      </c>
      <c r="E173" t="s">
        <v>82</v>
      </c>
      <c r="F173" t="s">
        <v>306</v>
      </c>
      <c r="G173">
        <v>281</v>
      </c>
      <c r="H173">
        <v>1518</v>
      </c>
      <c r="I173">
        <v>426558</v>
      </c>
      <c r="J173">
        <v>249386</v>
      </c>
      <c r="K173">
        <v>177172</v>
      </c>
      <c r="L173">
        <v>415087</v>
      </c>
      <c r="M173">
        <v>11471</v>
      </c>
      <c r="N173" t="s">
        <v>322</v>
      </c>
      <c r="O173" t="s">
        <v>320</v>
      </c>
    </row>
    <row r="174" spans="1:15" ht="15.75" customHeight="1" x14ac:dyDescent="0.2">
      <c r="A174" t="s">
        <v>419</v>
      </c>
      <c r="B174" t="s">
        <v>338</v>
      </c>
      <c r="C174" t="s">
        <v>339</v>
      </c>
      <c r="D174" t="s">
        <v>317</v>
      </c>
      <c r="E174" t="s">
        <v>71</v>
      </c>
      <c r="F174" t="s">
        <v>356</v>
      </c>
      <c r="G174">
        <v>97</v>
      </c>
      <c r="H174">
        <v>218</v>
      </c>
      <c r="I174">
        <v>21146</v>
      </c>
      <c r="J174">
        <v>12064</v>
      </c>
      <c r="K174">
        <v>9082</v>
      </c>
      <c r="L174">
        <v>16654</v>
      </c>
      <c r="M174">
        <v>4492</v>
      </c>
      <c r="N174" t="s">
        <v>322</v>
      </c>
      <c r="O174" t="s">
        <v>320</v>
      </c>
    </row>
    <row r="175" spans="1:15" ht="15.75" customHeight="1" x14ac:dyDescent="0.2">
      <c r="A175" t="s">
        <v>368</v>
      </c>
      <c r="B175" t="s">
        <v>328</v>
      </c>
      <c r="C175" t="s">
        <v>367</v>
      </c>
      <c r="D175" t="s">
        <v>391</v>
      </c>
      <c r="E175" t="s">
        <v>318</v>
      </c>
      <c r="F175" t="s">
        <v>87</v>
      </c>
      <c r="G175">
        <v>266</v>
      </c>
      <c r="H175">
        <v>375</v>
      </c>
      <c r="I175">
        <v>99750</v>
      </c>
      <c r="J175">
        <v>63776</v>
      </c>
      <c r="K175">
        <v>35974</v>
      </c>
      <c r="L175">
        <v>96661</v>
      </c>
      <c r="M175">
        <v>3089</v>
      </c>
      <c r="N175" t="s">
        <v>341</v>
      </c>
      <c r="O175" t="s">
        <v>189</v>
      </c>
    </row>
    <row r="176" spans="1:15" ht="15.75" customHeight="1" x14ac:dyDescent="0.2">
      <c r="A176" t="s">
        <v>423</v>
      </c>
      <c r="B176" t="s">
        <v>271</v>
      </c>
      <c r="C176" t="s">
        <v>309</v>
      </c>
      <c r="D176" t="s">
        <v>360</v>
      </c>
      <c r="E176" t="s">
        <v>82</v>
      </c>
      <c r="F176" t="s">
        <v>199</v>
      </c>
      <c r="G176">
        <v>308</v>
      </c>
      <c r="H176">
        <v>368</v>
      </c>
      <c r="I176">
        <v>113344</v>
      </c>
      <c r="J176">
        <v>71162</v>
      </c>
      <c r="K176">
        <v>42182</v>
      </c>
      <c r="L176">
        <v>103723</v>
      </c>
      <c r="M176">
        <v>9621</v>
      </c>
      <c r="N176" t="s">
        <v>319</v>
      </c>
      <c r="O176" t="s">
        <v>320</v>
      </c>
    </row>
    <row r="177" spans="1:15" ht="15.75" customHeight="1" x14ac:dyDescent="0.2">
      <c r="A177" t="s">
        <v>412</v>
      </c>
      <c r="B177" t="s">
        <v>338</v>
      </c>
      <c r="C177" t="s">
        <v>345</v>
      </c>
      <c r="D177" t="s">
        <v>95</v>
      </c>
      <c r="E177" t="s">
        <v>71</v>
      </c>
      <c r="F177" t="s">
        <v>199</v>
      </c>
      <c r="G177">
        <v>166</v>
      </c>
      <c r="H177">
        <v>1219</v>
      </c>
      <c r="I177">
        <v>202354</v>
      </c>
      <c r="J177">
        <v>171432</v>
      </c>
      <c r="K177">
        <v>30922</v>
      </c>
      <c r="L177">
        <v>218622</v>
      </c>
      <c r="M177">
        <v>-16268</v>
      </c>
      <c r="N177" t="s">
        <v>322</v>
      </c>
      <c r="O177" t="s">
        <v>320</v>
      </c>
    </row>
    <row r="178" spans="1:15" ht="15.75" customHeight="1" x14ac:dyDescent="0.2">
      <c r="A178" t="s">
        <v>432</v>
      </c>
      <c r="B178" t="s">
        <v>263</v>
      </c>
      <c r="C178" t="s">
        <v>347</v>
      </c>
      <c r="D178" t="s">
        <v>69</v>
      </c>
      <c r="E178" t="s">
        <v>82</v>
      </c>
      <c r="F178" t="s">
        <v>199</v>
      </c>
      <c r="G178">
        <v>233</v>
      </c>
      <c r="H178">
        <v>1691</v>
      </c>
      <c r="I178">
        <v>394003</v>
      </c>
      <c r="J178">
        <v>245936</v>
      </c>
      <c r="K178">
        <v>148067</v>
      </c>
      <c r="L178">
        <v>398938</v>
      </c>
      <c r="M178">
        <v>-4935</v>
      </c>
      <c r="N178" t="s">
        <v>322</v>
      </c>
      <c r="O178" t="s">
        <v>189</v>
      </c>
    </row>
    <row r="179" spans="1:15" ht="15.75" customHeight="1" x14ac:dyDescent="0.2">
      <c r="A179" t="s">
        <v>357</v>
      </c>
      <c r="B179" t="s">
        <v>271</v>
      </c>
      <c r="C179" t="s">
        <v>272</v>
      </c>
      <c r="D179" t="s">
        <v>95</v>
      </c>
      <c r="E179" t="s">
        <v>82</v>
      </c>
      <c r="F179" t="s">
        <v>306</v>
      </c>
      <c r="G179">
        <v>250</v>
      </c>
      <c r="H179">
        <v>1225</v>
      </c>
      <c r="I179">
        <v>306250</v>
      </c>
      <c r="J179">
        <v>235273</v>
      </c>
      <c r="K179">
        <v>70977</v>
      </c>
      <c r="L179">
        <v>286936</v>
      </c>
      <c r="M179">
        <v>19314</v>
      </c>
      <c r="N179" t="s">
        <v>186</v>
      </c>
      <c r="O179" t="s">
        <v>189</v>
      </c>
    </row>
    <row r="180" spans="1:15" ht="15.75" customHeight="1" x14ac:dyDescent="0.2">
      <c r="A180" t="s">
        <v>147</v>
      </c>
      <c r="B180" t="s">
        <v>333</v>
      </c>
      <c r="C180" t="s">
        <v>311</v>
      </c>
      <c r="D180" t="s">
        <v>69</v>
      </c>
      <c r="E180" t="s">
        <v>71</v>
      </c>
      <c r="F180" t="s">
        <v>92</v>
      </c>
      <c r="G180">
        <v>58</v>
      </c>
      <c r="H180">
        <v>1551</v>
      </c>
      <c r="I180">
        <v>89958</v>
      </c>
      <c r="J180">
        <v>57714</v>
      </c>
      <c r="K180">
        <v>32244</v>
      </c>
      <c r="L180">
        <v>95816</v>
      </c>
      <c r="M180">
        <v>-5858</v>
      </c>
      <c r="N180" t="s">
        <v>341</v>
      </c>
      <c r="O180" t="s">
        <v>320</v>
      </c>
    </row>
    <row r="181" spans="1:15" ht="15.75" customHeight="1" x14ac:dyDescent="0.2">
      <c r="A181" t="s">
        <v>244</v>
      </c>
      <c r="B181" t="s">
        <v>271</v>
      </c>
      <c r="C181" t="s">
        <v>272</v>
      </c>
      <c r="D181" t="s">
        <v>69</v>
      </c>
      <c r="E181" t="s">
        <v>82</v>
      </c>
      <c r="F181" t="s">
        <v>87</v>
      </c>
      <c r="G181">
        <v>220</v>
      </c>
      <c r="H181">
        <v>97</v>
      </c>
      <c r="I181">
        <v>21340</v>
      </c>
      <c r="J181">
        <v>17027</v>
      </c>
      <c r="K181">
        <v>4313</v>
      </c>
      <c r="L181">
        <v>27715</v>
      </c>
      <c r="M181">
        <v>-6375</v>
      </c>
      <c r="N181" t="s">
        <v>322</v>
      </c>
      <c r="O181" t="s">
        <v>326</v>
      </c>
    </row>
    <row r="182" spans="1:15" ht="15.75" customHeight="1" x14ac:dyDescent="0.2">
      <c r="A182" t="s">
        <v>433</v>
      </c>
      <c r="B182" t="s">
        <v>328</v>
      </c>
      <c r="C182" t="s">
        <v>283</v>
      </c>
      <c r="D182" t="s">
        <v>84</v>
      </c>
      <c r="E182" t="s">
        <v>82</v>
      </c>
      <c r="F182" t="s">
        <v>92</v>
      </c>
      <c r="G182">
        <v>324</v>
      </c>
      <c r="H182">
        <v>749</v>
      </c>
      <c r="I182">
        <v>242676</v>
      </c>
      <c r="J182">
        <v>122940</v>
      </c>
      <c r="K182">
        <v>119736</v>
      </c>
      <c r="L182">
        <v>226489</v>
      </c>
      <c r="M182">
        <v>16187</v>
      </c>
      <c r="N182" t="s">
        <v>341</v>
      </c>
      <c r="O182" t="s">
        <v>320</v>
      </c>
    </row>
    <row r="183" spans="1:15" ht="15.75" customHeight="1" x14ac:dyDescent="0.2">
      <c r="A183" t="s">
        <v>297</v>
      </c>
      <c r="B183" t="s">
        <v>263</v>
      </c>
      <c r="C183" t="s">
        <v>354</v>
      </c>
      <c r="D183" t="s">
        <v>307</v>
      </c>
      <c r="E183" t="s">
        <v>325</v>
      </c>
      <c r="F183" t="s">
        <v>199</v>
      </c>
      <c r="G183">
        <v>95</v>
      </c>
      <c r="H183">
        <v>1665</v>
      </c>
      <c r="I183">
        <v>158175</v>
      </c>
      <c r="J183">
        <v>105334</v>
      </c>
      <c r="K183">
        <v>52841</v>
      </c>
      <c r="L183">
        <v>171327</v>
      </c>
      <c r="M183">
        <v>-13152</v>
      </c>
      <c r="N183" t="s">
        <v>186</v>
      </c>
      <c r="O183" t="s">
        <v>326</v>
      </c>
    </row>
    <row r="184" spans="1:15" ht="15.75" customHeight="1" x14ac:dyDescent="0.2">
      <c r="A184" t="s">
        <v>434</v>
      </c>
      <c r="B184" t="s">
        <v>263</v>
      </c>
      <c r="C184" t="s">
        <v>347</v>
      </c>
      <c r="D184" t="s">
        <v>391</v>
      </c>
      <c r="E184" t="s">
        <v>82</v>
      </c>
      <c r="F184" t="s">
        <v>81</v>
      </c>
      <c r="G184">
        <v>157</v>
      </c>
      <c r="H184">
        <v>235</v>
      </c>
      <c r="I184">
        <v>36895</v>
      </c>
      <c r="J184">
        <v>29822</v>
      </c>
      <c r="K184">
        <v>7073</v>
      </c>
      <c r="L184">
        <v>54670</v>
      </c>
      <c r="M184">
        <v>-17775</v>
      </c>
      <c r="N184" t="s">
        <v>319</v>
      </c>
      <c r="O184" t="s">
        <v>331</v>
      </c>
    </row>
    <row r="185" spans="1:15" ht="15.75" customHeight="1" x14ac:dyDescent="0.2">
      <c r="A185" t="s">
        <v>121</v>
      </c>
      <c r="B185" t="s">
        <v>328</v>
      </c>
      <c r="C185" t="s">
        <v>359</v>
      </c>
      <c r="D185" t="s">
        <v>336</v>
      </c>
      <c r="E185" t="s">
        <v>318</v>
      </c>
      <c r="F185" t="s">
        <v>356</v>
      </c>
      <c r="G185">
        <v>132</v>
      </c>
      <c r="H185">
        <v>1699</v>
      </c>
      <c r="I185">
        <v>224268</v>
      </c>
      <c r="J185">
        <v>151024</v>
      </c>
      <c r="K185">
        <v>73244</v>
      </c>
      <c r="L185">
        <v>234490</v>
      </c>
      <c r="M185">
        <v>-10222</v>
      </c>
      <c r="N185" t="s">
        <v>322</v>
      </c>
      <c r="O185" t="s">
        <v>320</v>
      </c>
    </row>
    <row r="186" spans="1:15" ht="15.75" customHeight="1" x14ac:dyDescent="0.2">
      <c r="A186" t="s">
        <v>379</v>
      </c>
      <c r="B186" t="s">
        <v>328</v>
      </c>
      <c r="C186" t="s">
        <v>359</v>
      </c>
      <c r="D186" t="s">
        <v>324</v>
      </c>
      <c r="E186" t="s">
        <v>325</v>
      </c>
      <c r="F186" t="s">
        <v>306</v>
      </c>
      <c r="G186">
        <v>363</v>
      </c>
      <c r="H186">
        <v>1032</v>
      </c>
      <c r="I186">
        <v>374616</v>
      </c>
      <c r="J186">
        <v>198429</v>
      </c>
      <c r="K186">
        <v>176187</v>
      </c>
      <c r="L186">
        <v>377564</v>
      </c>
      <c r="M186">
        <v>-2948</v>
      </c>
      <c r="N186" t="s">
        <v>341</v>
      </c>
      <c r="O186" t="s">
        <v>320</v>
      </c>
    </row>
    <row r="187" spans="1:15" ht="15.75" customHeight="1" x14ac:dyDescent="0.2">
      <c r="A187" t="s">
        <v>286</v>
      </c>
      <c r="B187" t="s">
        <v>338</v>
      </c>
      <c r="C187" t="s">
        <v>348</v>
      </c>
      <c r="D187" t="s">
        <v>273</v>
      </c>
      <c r="E187" t="s">
        <v>71</v>
      </c>
      <c r="F187" t="s">
        <v>199</v>
      </c>
      <c r="G187">
        <v>39</v>
      </c>
      <c r="H187">
        <v>1650</v>
      </c>
      <c r="I187">
        <v>64350</v>
      </c>
      <c r="J187">
        <v>42219</v>
      </c>
      <c r="K187">
        <v>22131</v>
      </c>
      <c r="L187">
        <v>54832</v>
      </c>
      <c r="M187">
        <v>9518</v>
      </c>
      <c r="N187" t="s">
        <v>322</v>
      </c>
      <c r="O187" t="s">
        <v>331</v>
      </c>
    </row>
    <row r="188" spans="1:15" ht="15.75" customHeight="1" x14ac:dyDescent="0.2">
      <c r="A188" t="s">
        <v>111</v>
      </c>
      <c r="B188" t="s">
        <v>328</v>
      </c>
      <c r="C188" t="s">
        <v>329</v>
      </c>
      <c r="D188" t="s">
        <v>355</v>
      </c>
      <c r="E188" t="s">
        <v>318</v>
      </c>
      <c r="F188" t="s">
        <v>306</v>
      </c>
      <c r="G188">
        <v>208</v>
      </c>
      <c r="H188">
        <v>670</v>
      </c>
      <c r="I188">
        <v>139360</v>
      </c>
      <c r="J188">
        <v>73119</v>
      </c>
      <c r="K188">
        <v>66241</v>
      </c>
      <c r="L188">
        <v>151165</v>
      </c>
      <c r="M188">
        <v>-11805</v>
      </c>
      <c r="N188" t="s">
        <v>322</v>
      </c>
      <c r="O188" t="s">
        <v>189</v>
      </c>
    </row>
    <row r="189" spans="1:15" ht="15.75" customHeight="1" x14ac:dyDescent="0.2">
      <c r="A189" t="s">
        <v>435</v>
      </c>
      <c r="B189" t="s">
        <v>263</v>
      </c>
      <c r="C189" t="s">
        <v>354</v>
      </c>
      <c r="D189" t="s">
        <v>84</v>
      </c>
      <c r="E189" t="s">
        <v>71</v>
      </c>
      <c r="F189" t="s">
        <v>74</v>
      </c>
      <c r="G189">
        <v>490</v>
      </c>
      <c r="H189">
        <v>1139</v>
      </c>
      <c r="I189">
        <v>558110</v>
      </c>
      <c r="J189">
        <v>439579</v>
      </c>
      <c r="K189">
        <v>118531</v>
      </c>
      <c r="L189">
        <v>547077</v>
      </c>
      <c r="M189">
        <v>11033</v>
      </c>
      <c r="N189" t="s">
        <v>322</v>
      </c>
      <c r="O189" t="s">
        <v>331</v>
      </c>
    </row>
    <row r="190" spans="1:15" ht="15.75" customHeight="1" x14ac:dyDescent="0.2">
      <c r="A190" t="s">
        <v>160</v>
      </c>
      <c r="B190" t="s">
        <v>328</v>
      </c>
      <c r="C190" t="s">
        <v>367</v>
      </c>
      <c r="D190" t="s">
        <v>84</v>
      </c>
      <c r="E190" t="s">
        <v>325</v>
      </c>
      <c r="F190" t="s">
        <v>356</v>
      </c>
      <c r="G190">
        <v>304</v>
      </c>
      <c r="H190">
        <v>1002</v>
      </c>
      <c r="I190">
        <v>304608</v>
      </c>
      <c r="J190">
        <v>221073</v>
      </c>
      <c r="K190">
        <v>83535</v>
      </c>
      <c r="L190">
        <v>317895</v>
      </c>
      <c r="M190">
        <v>-13287</v>
      </c>
      <c r="N190" t="s">
        <v>341</v>
      </c>
      <c r="O190" t="s">
        <v>326</v>
      </c>
    </row>
    <row r="191" spans="1:15" ht="15.75" customHeight="1" x14ac:dyDescent="0.2">
      <c r="A191" t="s">
        <v>294</v>
      </c>
      <c r="B191" t="s">
        <v>333</v>
      </c>
      <c r="C191" t="s">
        <v>269</v>
      </c>
      <c r="D191" t="s">
        <v>273</v>
      </c>
      <c r="E191" t="s">
        <v>325</v>
      </c>
      <c r="F191" t="s">
        <v>199</v>
      </c>
      <c r="G191">
        <v>488</v>
      </c>
      <c r="H191">
        <v>80</v>
      </c>
      <c r="I191">
        <v>39040</v>
      </c>
      <c r="J191">
        <v>21656</v>
      </c>
      <c r="K191">
        <v>17384</v>
      </c>
      <c r="L191">
        <v>57445</v>
      </c>
      <c r="M191">
        <v>-18405</v>
      </c>
      <c r="N191" t="s">
        <v>341</v>
      </c>
      <c r="O191" t="s">
        <v>189</v>
      </c>
    </row>
    <row r="192" spans="1:15" ht="15.75" customHeight="1" x14ac:dyDescent="0.2">
      <c r="A192" t="s">
        <v>125</v>
      </c>
      <c r="B192" t="s">
        <v>333</v>
      </c>
      <c r="C192" t="s">
        <v>265</v>
      </c>
      <c r="D192" t="s">
        <v>391</v>
      </c>
      <c r="E192" t="s">
        <v>82</v>
      </c>
      <c r="F192" t="s">
        <v>92</v>
      </c>
      <c r="G192">
        <v>236</v>
      </c>
      <c r="H192">
        <v>65</v>
      </c>
      <c r="I192">
        <v>15340</v>
      </c>
      <c r="J192">
        <v>11851</v>
      </c>
      <c r="K192">
        <v>3489</v>
      </c>
      <c r="L192">
        <v>346</v>
      </c>
      <c r="M192">
        <v>14994</v>
      </c>
      <c r="N192" t="s">
        <v>319</v>
      </c>
      <c r="O192" t="s">
        <v>189</v>
      </c>
    </row>
    <row r="193" spans="1:15" ht="15.75" customHeight="1" x14ac:dyDescent="0.2">
      <c r="A193" t="s">
        <v>133</v>
      </c>
      <c r="B193" t="s">
        <v>263</v>
      </c>
      <c r="C193" t="s">
        <v>276</v>
      </c>
      <c r="D193" t="s">
        <v>95</v>
      </c>
      <c r="E193" t="s">
        <v>325</v>
      </c>
      <c r="F193" t="s">
        <v>199</v>
      </c>
      <c r="G193">
        <v>44</v>
      </c>
      <c r="H193">
        <v>1672</v>
      </c>
      <c r="I193">
        <v>73568</v>
      </c>
      <c r="J193">
        <v>51201</v>
      </c>
      <c r="K193">
        <v>22367</v>
      </c>
      <c r="L193">
        <v>70245</v>
      </c>
      <c r="M193">
        <v>3323</v>
      </c>
      <c r="N193" t="s">
        <v>322</v>
      </c>
      <c r="O193" t="s">
        <v>331</v>
      </c>
    </row>
    <row r="194" spans="1:15" ht="15.75" customHeight="1" x14ac:dyDescent="0.2">
      <c r="A194" t="s">
        <v>103</v>
      </c>
      <c r="B194" t="s">
        <v>338</v>
      </c>
      <c r="C194" t="s">
        <v>350</v>
      </c>
      <c r="D194" t="s">
        <v>73</v>
      </c>
      <c r="E194" t="s">
        <v>71</v>
      </c>
      <c r="F194" t="s">
        <v>306</v>
      </c>
      <c r="G194">
        <v>105</v>
      </c>
      <c r="H194">
        <v>1675</v>
      </c>
      <c r="I194">
        <v>175875</v>
      </c>
      <c r="J194">
        <v>130708</v>
      </c>
      <c r="K194">
        <v>45167</v>
      </c>
      <c r="L194">
        <v>159483</v>
      </c>
      <c r="M194">
        <v>16392</v>
      </c>
      <c r="N194" t="s">
        <v>319</v>
      </c>
      <c r="O194" t="s">
        <v>320</v>
      </c>
    </row>
    <row r="195" spans="1:15" ht="15.75" customHeight="1" x14ac:dyDescent="0.2">
      <c r="A195" t="s">
        <v>114</v>
      </c>
      <c r="B195" t="s">
        <v>271</v>
      </c>
      <c r="C195" t="s">
        <v>309</v>
      </c>
      <c r="D195" t="s">
        <v>307</v>
      </c>
      <c r="E195" t="s">
        <v>82</v>
      </c>
      <c r="F195" t="s">
        <v>199</v>
      </c>
      <c r="G195">
        <v>401</v>
      </c>
      <c r="H195">
        <v>681</v>
      </c>
      <c r="I195">
        <v>273081</v>
      </c>
      <c r="J195">
        <v>231255</v>
      </c>
      <c r="K195">
        <v>41826</v>
      </c>
      <c r="L195">
        <v>263887</v>
      </c>
      <c r="M195">
        <v>9194</v>
      </c>
      <c r="N195" t="s">
        <v>319</v>
      </c>
      <c r="O195" t="s">
        <v>331</v>
      </c>
    </row>
    <row r="196" spans="1:15" ht="15.75" customHeight="1" x14ac:dyDescent="0.2">
      <c r="A196" t="s">
        <v>436</v>
      </c>
      <c r="B196" t="s">
        <v>271</v>
      </c>
      <c r="C196" t="s">
        <v>272</v>
      </c>
      <c r="D196" t="s">
        <v>308</v>
      </c>
      <c r="E196" t="s">
        <v>71</v>
      </c>
      <c r="F196" t="s">
        <v>356</v>
      </c>
      <c r="G196">
        <v>36</v>
      </c>
      <c r="H196">
        <v>1272</v>
      </c>
      <c r="I196">
        <v>45792</v>
      </c>
      <c r="J196">
        <v>29935</v>
      </c>
      <c r="K196">
        <v>15857</v>
      </c>
      <c r="L196">
        <v>44979</v>
      </c>
      <c r="M196">
        <v>813</v>
      </c>
      <c r="N196" t="s">
        <v>322</v>
      </c>
      <c r="O196" t="s">
        <v>326</v>
      </c>
    </row>
    <row r="197" spans="1:15" ht="15.75" customHeight="1" x14ac:dyDescent="0.2">
      <c r="A197" t="s">
        <v>422</v>
      </c>
      <c r="B197" t="s">
        <v>328</v>
      </c>
      <c r="C197" t="s">
        <v>283</v>
      </c>
      <c r="D197" t="s">
        <v>355</v>
      </c>
      <c r="E197" t="s">
        <v>82</v>
      </c>
      <c r="F197" t="s">
        <v>306</v>
      </c>
      <c r="G197">
        <v>294</v>
      </c>
      <c r="H197">
        <v>1067</v>
      </c>
      <c r="I197">
        <v>313698</v>
      </c>
      <c r="J197">
        <v>248171</v>
      </c>
      <c r="K197">
        <v>65527</v>
      </c>
      <c r="L197">
        <v>333149</v>
      </c>
      <c r="M197">
        <v>-19451</v>
      </c>
      <c r="N197" t="s">
        <v>341</v>
      </c>
      <c r="O197" t="s">
        <v>320</v>
      </c>
    </row>
    <row r="198" spans="1:15" ht="15.75" customHeight="1" x14ac:dyDescent="0.2">
      <c r="A198" t="s">
        <v>395</v>
      </c>
      <c r="B198" t="s">
        <v>333</v>
      </c>
      <c r="C198" t="s">
        <v>383</v>
      </c>
      <c r="D198" t="s">
        <v>371</v>
      </c>
      <c r="E198" t="s">
        <v>325</v>
      </c>
      <c r="F198" t="s">
        <v>306</v>
      </c>
      <c r="G198">
        <v>47</v>
      </c>
      <c r="H198">
        <v>94</v>
      </c>
      <c r="I198">
        <v>4418</v>
      </c>
      <c r="J198">
        <v>3551</v>
      </c>
      <c r="K198">
        <v>867</v>
      </c>
      <c r="L198">
        <v>-10448</v>
      </c>
      <c r="M198">
        <v>14866</v>
      </c>
      <c r="N198" t="s">
        <v>322</v>
      </c>
      <c r="O198" t="s">
        <v>320</v>
      </c>
    </row>
    <row r="199" spans="1:15" ht="15.75" customHeight="1" x14ac:dyDescent="0.2">
      <c r="A199" t="s">
        <v>437</v>
      </c>
      <c r="B199" t="s">
        <v>338</v>
      </c>
      <c r="C199" t="s">
        <v>339</v>
      </c>
      <c r="D199" t="s">
        <v>324</v>
      </c>
      <c r="E199" t="s">
        <v>82</v>
      </c>
      <c r="F199" t="s">
        <v>70</v>
      </c>
      <c r="G199">
        <v>203</v>
      </c>
      <c r="H199">
        <v>1082</v>
      </c>
      <c r="I199">
        <v>219646</v>
      </c>
      <c r="J199">
        <v>147047</v>
      </c>
      <c r="K199">
        <v>72599</v>
      </c>
      <c r="L199">
        <v>209347</v>
      </c>
      <c r="M199">
        <v>10299</v>
      </c>
      <c r="N199" t="s">
        <v>186</v>
      </c>
      <c r="O199" t="s">
        <v>331</v>
      </c>
    </row>
    <row r="200" spans="1:15" ht="15.75" customHeight="1" x14ac:dyDescent="0.2">
      <c r="A200" t="s">
        <v>117</v>
      </c>
      <c r="B200" t="s">
        <v>333</v>
      </c>
      <c r="C200" t="s">
        <v>311</v>
      </c>
      <c r="D200" t="s">
        <v>73</v>
      </c>
      <c r="E200" t="s">
        <v>325</v>
      </c>
      <c r="F200" t="s">
        <v>87</v>
      </c>
      <c r="G200">
        <v>163</v>
      </c>
      <c r="H200">
        <v>565</v>
      </c>
      <c r="I200">
        <v>92095</v>
      </c>
      <c r="J200">
        <v>77997</v>
      </c>
      <c r="K200">
        <v>14098</v>
      </c>
      <c r="L200">
        <v>104496</v>
      </c>
      <c r="M200">
        <v>-12401</v>
      </c>
      <c r="N200" t="s">
        <v>341</v>
      </c>
      <c r="O200" t="s">
        <v>326</v>
      </c>
    </row>
    <row r="201" spans="1:15" ht="15.75" customHeight="1" x14ac:dyDescent="0.2">
      <c r="A201" t="s">
        <v>386</v>
      </c>
      <c r="B201" t="s">
        <v>338</v>
      </c>
      <c r="C201" t="s">
        <v>339</v>
      </c>
      <c r="D201" t="s">
        <v>73</v>
      </c>
      <c r="E201" t="s">
        <v>325</v>
      </c>
      <c r="F201" t="s">
        <v>356</v>
      </c>
      <c r="G201">
        <v>142</v>
      </c>
      <c r="H201">
        <v>1921</v>
      </c>
      <c r="I201">
        <v>272782</v>
      </c>
      <c r="J201">
        <v>217654</v>
      </c>
      <c r="K201">
        <v>55128</v>
      </c>
      <c r="L201">
        <v>290509</v>
      </c>
      <c r="M201">
        <v>-17727</v>
      </c>
      <c r="N201" t="s">
        <v>322</v>
      </c>
      <c r="O201" t="s">
        <v>189</v>
      </c>
    </row>
    <row r="202" spans="1:15" ht="15.75" customHeight="1" x14ac:dyDescent="0.2">
      <c r="A202" t="s">
        <v>438</v>
      </c>
      <c r="B202" t="s">
        <v>263</v>
      </c>
      <c r="C202" t="s">
        <v>347</v>
      </c>
      <c r="D202" t="s">
        <v>371</v>
      </c>
      <c r="E202" t="s">
        <v>71</v>
      </c>
      <c r="F202" t="s">
        <v>81</v>
      </c>
      <c r="G202">
        <v>261</v>
      </c>
      <c r="H202">
        <v>1782</v>
      </c>
      <c r="I202">
        <v>465102</v>
      </c>
      <c r="J202">
        <v>341075</v>
      </c>
      <c r="K202">
        <v>124027</v>
      </c>
      <c r="L202">
        <v>478541</v>
      </c>
      <c r="M202">
        <v>-13439</v>
      </c>
      <c r="N202" t="s">
        <v>322</v>
      </c>
      <c r="O202" t="s">
        <v>326</v>
      </c>
    </row>
    <row r="203" spans="1:15" ht="15.75" customHeight="1" x14ac:dyDescent="0.2">
      <c r="A203" t="s">
        <v>439</v>
      </c>
      <c r="B203" t="s">
        <v>271</v>
      </c>
      <c r="C203" t="s">
        <v>270</v>
      </c>
      <c r="D203" t="s">
        <v>330</v>
      </c>
      <c r="E203" t="s">
        <v>71</v>
      </c>
      <c r="F203" t="s">
        <v>92</v>
      </c>
      <c r="G203">
        <v>444</v>
      </c>
      <c r="H203">
        <v>919</v>
      </c>
      <c r="I203">
        <v>408036</v>
      </c>
      <c r="J203">
        <v>265668</v>
      </c>
      <c r="K203">
        <v>142368</v>
      </c>
      <c r="L203">
        <v>410703</v>
      </c>
      <c r="M203">
        <v>-2667</v>
      </c>
      <c r="N203" t="s">
        <v>319</v>
      </c>
      <c r="O203" t="s">
        <v>326</v>
      </c>
    </row>
    <row r="204" spans="1:15" ht="15.75" customHeight="1" x14ac:dyDescent="0.2">
      <c r="A204" t="s">
        <v>116</v>
      </c>
      <c r="B204" t="s">
        <v>328</v>
      </c>
      <c r="C204" t="s">
        <v>367</v>
      </c>
      <c r="D204" t="s">
        <v>391</v>
      </c>
      <c r="E204" t="s">
        <v>71</v>
      </c>
      <c r="F204" t="s">
        <v>70</v>
      </c>
      <c r="G204">
        <v>407</v>
      </c>
      <c r="H204">
        <v>682</v>
      </c>
      <c r="I204">
        <v>277574</v>
      </c>
      <c r="J204">
        <v>208767</v>
      </c>
      <c r="K204">
        <v>68807</v>
      </c>
      <c r="L204">
        <v>278216</v>
      </c>
      <c r="M204">
        <v>-642</v>
      </c>
      <c r="N204" t="s">
        <v>322</v>
      </c>
      <c r="O204" t="s">
        <v>189</v>
      </c>
    </row>
    <row r="205" spans="1:15" ht="15.75" customHeight="1" x14ac:dyDescent="0.2">
      <c r="A205" t="s">
        <v>159</v>
      </c>
      <c r="B205" t="s">
        <v>271</v>
      </c>
      <c r="C205" t="s">
        <v>272</v>
      </c>
      <c r="D205" t="s">
        <v>307</v>
      </c>
      <c r="E205" t="s">
        <v>318</v>
      </c>
      <c r="F205" t="s">
        <v>92</v>
      </c>
      <c r="G205">
        <v>222</v>
      </c>
      <c r="H205">
        <v>885</v>
      </c>
      <c r="I205">
        <v>196470</v>
      </c>
      <c r="J205">
        <v>106659</v>
      </c>
      <c r="K205">
        <v>89811</v>
      </c>
      <c r="L205">
        <v>188248</v>
      </c>
      <c r="M205">
        <v>8222</v>
      </c>
      <c r="N205" t="s">
        <v>322</v>
      </c>
      <c r="O205" t="s">
        <v>331</v>
      </c>
    </row>
    <row r="206" spans="1:15" ht="15.75" customHeight="1" x14ac:dyDescent="0.2">
      <c r="A206" t="s">
        <v>215</v>
      </c>
      <c r="B206" t="s">
        <v>328</v>
      </c>
      <c r="C206" t="s">
        <v>283</v>
      </c>
      <c r="D206" t="s">
        <v>336</v>
      </c>
      <c r="E206" t="s">
        <v>318</v>
      </c>
      <c r="F206" t="s">
        <v>70</v>
      </c>
      <c r="G206">
        <v>480</v>
      </c>
      <c r="H206">
        <v>760</v>
      </c>
      <c r="I206">
        <v>364800</v>
      </c>
      <c r="J206">
        <v>299424</v>
      </c>
      <c r="K206">
        <v>65376</v>
      </c>
      <c r="L206">
        <v>356844</v>
      </c>
      <c r="M206">
        <v>7956</v>
      </c>
      <c r="N206" t="s">
        <v>341</v>
      </c>
      <c r="O206" t="s">
        <v>189</v>
      </c>
    </row>
    <row r="207" spans="1:15" ht="15.75" customHeight="1" x14ac:dyDescent="0.2">
      <c r="A207" t="s">
        <v>440</v>
      </c>
      <c r="B207" t="s">
        <v>271</v>
      </c>
      <c r="C207" t="s">
        <v>270</v>
      </c>
      <c r="D207" t="s">
        <v>340</v>
      </c>
      <c r="E207" t="s">
        <v>318</v>
      </c>
      <c r="F207" t="s">
        <v>74</v>
      </c>
      <c r="G207">
        <v>382</v>
      </c>
      <c r="H207">
        <v>1802</v>
      </c>
      <c r="I207">
        <v>688364</v>
      </c>
      <c r="J207">
        <v>469080</v>
      </c>
      <c r="K207">
        <v>219284</v>
      </c>
      <c r="L207">
        <v>701566</v>
      </c>
      <c r="M207">
        <v>-13202</v>
      </c>
      <c r="N207" t="s">
        <v>341</v>
      </c>
      <c r="O207" t="s">
        <v>189</v>
      </c>
    </row>
    <row r="208" spans="1:15" ht="15.75" customHeight="1" x14ac:dyDescent="0.2">
      <c r="A208" t="s">
        <v>441</v>
      </c>
      <c r="B208" t="s">
        <v>263</v>
      </c>
      <c r="C208" t="s">
        <v>276</v>
      </c>
      <c r="D208" t="s">
        <v>340</v>
      </c>
      <c r="E208" t="s">
        <v>325</v>
      </c>
      <c r="F208" t="s">
        <v>70</v>
      </c>
      <c r="G208">
        <v>284</v>
      </c>
      <c r="H208">
        <v>660</v>
      </c>
      <c r="I208">
        <v>187440</v>
      </c>
      <c r="J208">
        <v>133848</v>
      </c>
      <c r="K208">
        <v>53592</v>
      </c>
      <c r="L208">
        <v>201897</v>
      </c>
      <c r="M208">
        <v>-14457</v>
      </c>
      <c r="N208" t="s">
        <v>186</v>
      </c>
      <c r="O208" t="s">
        <v>320</v>
      </c>
    </row>
    <row r="209" spans="1:15" ht="15.75" customHeight="1" x14ac:dyDescent="0.2">
      <c r="A209" t="s">
        <v>121</v>
      </c>
      <c r="B209" t="s">
        <v>333</v>
      </c>
      <c r="C209" t="s">
        <v>265</v>
      </c>
      <c r="D209" t="s">
        <v>307</v>
      </c>
      <c r="E209" t="s">
        <v>325</v>
      </c>
      <c r="F209" t="s">
        <v>87</v>
      </c>
      <c r="G209">
        <v>457</v>
      </c>
      <c r="H209">
        <v>168</v>
      </c>
      <c r="I209">
        <v>76776</v>
      </c>
      <c r="J209">
        <v>52109</v>
      </c>
      <c r="K209">
        <v>24667</v>
      </c>
      <c r="L209">
        <v>74420</v>
      </c>
      <c r="M209">
        <v>2356</v>
      </c>
      <c r="N209" t="s">
        <v>319</v>
      </c>
      <c r="O209" t="s">
        <v>326</v>
      </c>
    </row>
    <row r="210" spans="1:15" ht="15.75" customHeight="1" x14ac:dyDescent="0.2">
      <c r="A210" t="s">
        <v>113</v>
      </c>
      <c r="B210" t="s">
        <v>263</v>
      </c>
      <c r="C210" t="s">
        <v>347</v>
      </c>
      <c r="D210" t="s">
        <v>95</v>
      </c>
      <c r="E210" t="s">
        <v>71</v>
      </c>
      <c r="F210" t="s">
        <v>92</v>
      </c>
      <c r="G210">
        <v>440</v>
      </c>
      <c r="H210">
        <v>1897</v>
      </c>
      <c r="I210">
        <v>834680</v>
      </c>
      <c r="J210">
        <v>579260</v>
      </c>
      <c r="K210">
        <v>255420</v>
      </c>
      <c r="L210">
        <v>836044</v>
      </c>
      <c r="M210">
        <v>-1364</v>
      </c>
      <c r="N210" t="s">
        <v>341</v>
      </c>
      <c r="O210" t="s">
        <v>331</v>
      </c>
    </row>
    <row r="211" spans="1:15" ht="15.75" customHeight="1" x14ac:dyDescent="0.2">
      <c r="A211" t="s">
        <v>442</v>
      </c>
      <c r="B211" t="s">
        <v>333</v>
      </c>
      <c r="C211" t="s">
        <v>383</v>
      </c>
      <c r="D211" t="s">
        <v>330</v>
      </c>
      <c r="E211" t="s">
        <v>82</v>
      </c>
      <c r="F211" t="s">
        <v>74</v>
      </c>
      <c r="G211">
        <v>325</v>
      </c>
      <c r="H211">
        <v>699</v>
      </c>
      <c r="I211">
        <v>227175</v>
      </c>
      <c r="J211">
        <v>141511</v>
      </c>
      <c r="K211">
        <v>85664</v>
      </c>
      <c r="L211">
        <v>246412</v>
      </c>
      <c r="M211">
        <v>-19237</v>
      </c>
      <c r="N211" t="s">
        <v>341</v>
      </c>
      <c r="O211" t="s">
        <v>326</v>
      </c>
    </row>
    <row r="212" spans="1:15" ht="15.75" customHeight="1" x14ac:dyDescent="0.2">
      <c r="A212" t="s">
        <v>400</v>
      </c>
      <c r="B212" t="s">
        <v>263</v>
      </c>
      <c r="C212" t="s">
        <v>347</v>
      </c>
      <c r="D212" t="s">
        <v>308</v>
      </c>
      <c r="E212" t="s">
        <v>71</v>
      </c>
      <c r="F212" t="s">
        <v>81</v>
      </c>
      <c r="G212">
        <v>202</v>
      </c>
      <c r="H212">
        <v>271</v>
      </c>
      <c r="I212">
        <v>54742</v>
      </c>
      <c r="J212">
        <v>27843</v>
      </c>
      <c r="K212">
        <v>26899</v>
      </c>
      <c r="L212">
        <v>51314</v>
      </c>
      <c r="M212">
        <v>3428</v>
      </c>
      <c r="N212" t="s">
        <v>319</v>
      </c>
      <c r="O212" t="s">
        <v>320</v>
      </c>
    </row>
    <row r="213" spans="1:15" ht="15.75" customHeight="1" x14ac:dyDescent="0.2">
      <c r="A213" t="s">
        <v>219</v>
      </c>
      <c r="B213" t="s">
        <v>328</v>
      </c>
      <c r="C213" t="s">
        <v>367</v>
      </c>
      <c r="D213" t="s">
        <v>360</v>
      </c>
      <c r="E213" t="s">
        <v>318</v>
      </c>
      <c r="F213" t="s">
        <v>81</v>
      </c>
      <c r="G213">
        <v>145</v>
      </c>
      <c r="H213">
        <v>860</v>
      </c>
      <c r="I213">
        <v>124700</v>
      </c>
      <c r="J213">
        <v>94225</v>
      </c>
      <c r="K213">
        <v>30475</v>
      </c>
      <c r="L213">
        <v>141968</v>
      </c>
      <c r="M213">
        <v>-17268</v>
      </c>
      <c r="N213" t="s">
        <v>186</v>
      </c>
      <c r="O213" t="s">
        <v>320</v>
      </c>
    </row>
    <row r="214" spans="1:15" ht="15.75" customHeight="1" x14ac:dyDescent="0.2">
      <c r="A214" t="s">
        <v>337</v>
      </c>
      <c r="B214" t="s">
        <v>328</v>
      </c>
      <c r="C214" t="s">
        <v>367</v>
      </c>
      <c r="D214" t="s">
        <v>95</v>
      </c>
      <c r="E214" t="s">
        <v>82</v>
      </c>
      <c r="F214" t="s">
        <v>356</v>
      </c>
      <c r="G214">
        <v>294</v>
      </c>
      <c r="H214">
        <v>1226</v>
      </c>
      <c r="I214">
        <v>360444</v>
      </c>
      <c r="J214">
        <v>296049</v>
      </c>
      <c r="K214">
        <v>64395</v>
      </c>
      <c r="L214">
        <v>364419</v>
      </c>
      <c r="M214">
        <v>-3975</v>
      </c>
      <c r="N214" t="s">
        <v>186</v>
      </c>
      <c r="O214" t="s">
        <v>320</v>
      </c>
    </row>
    <row r="215" spans="1:15" ht="15.75" customHeight="1" x14ac:dyDescent="0.2">
      <c r="A215" t="s">
        <v>439</v>
      </c>
      <c r="B215" t="s">
        <v>271</v>
      </c>
      <c r="C215" t="s">
        <v>309</v>
      </c>
      <c r="D215" t="s">
        <v>73</v>
      </c>
      <c r="E215" t="s">
        <v>82</v>
      </c>
      <c r="F215" t="s">
        <v>306</v>
      </c>
      <c r="G215">
        <v>26</v>
      </c>
      <c r="H215">
        <v>1095</v>
      </c>
      <c r="I215">
        <v>28470</v>
      </c>
      <c r="J215">
        <v>22001</v>
      </c>
      <c r="K215">
        <v>6469</v>
      </c>
      <c r="L215">
        <v>11239</v>
      </c>
      <c r="M215">
        <v>17231</v>
      </c>
      <c r="N215" t="s">
        <v>322</v>
      </c>
      <c r="O215" t="s">
        <v>320</v>
      </c>
    </row>
    <row r="216" spans="1:15" ht="15.75" customHeight="1" x14ac:dyDescent="0.2">
      <c r="A216" t="s">
        <v>287</v>
      </c>
      <c r="B216" t="s">
        <v>263</v>
      </c>
      <c r="C216" t="s">
        <v>354</v>
      </c>
      <c r="D216" t="s">
        <v>273</v>
      </c>
      <c r="E216" t="s">
        <v>82</v>
      </c>
      <c r="F216" t="s">
        <v>92</v>
      </c>
      <c r="G216">
        <v>406</v>
      </c>
      <c r="H216">
        <v>1691</v>
      </c>
      <c r="I216">
        <v>686546</v>
      </c>
      <c r="J216">
        <v>412025</v>
      </c>
      <c r="K216">
        <v>274521</v>
      </c>
      <c r="L216">
        <v>669934</v>
      </c>
      <c r="M216">
        <v>16612</v>
      </c>
      <c r="N216" t="s">
        <v>341</v>
      </c>
      <c r="O216" t="s">
        <v>326</v>
      </c>
    </row>
    <row r="217" spans="1:15" ht="15.75" customHeight="1" x14ac:dyDescent="0.2">
      <c r="A217" t="s">
        <v>379</v>
      </c>
      <c r="B217" t="s">
        <v>263</v>
      </c>
      <c r="C217" t="s">
        <v>280</v>
      </c>
      <c r="D217" t="s">
        <v>223</v>
      </c>
      <c r="E217" t="s">
        <v>71</v>
      </c>
      <c r="F217" t="s">
        <v>199</v>
      </c>
      <c r="G217">
        <v>9</v>
      </c>
      <c r="H217">
        <v>453</v>
      </c>
      <c r="I217">
        <v>4077</v>
      </c>
      <c r="J217">
        <v>2166</v>
      </c>
      <c r="K217">
        <v>1911</v>
      </c>
      <c r="L217">
        <v>-12286</v>
      </c>
      <c r="M217">
        <v>16363</v>
      </c>
      <c r="N217" t="s">
        <v>319</v>
      </c>
      <c r="O217" t="s">
        <v>326</v>
      </c>
    </row>
    <row r="218" spans="1:15" ht="15.75" customHeight="1" x14ac:dyDescent="0.2">
      <c r="A218" t="s">
        <v>443</v>
      </c>
      <c r="B218" t="s">
        <v>333</v>
      </c>
      <c r="C218" t="s">
        <v>311</v>
      </c>
      <c r="D218" t="s">
        <v>391</v>
      </c>
      <c r="E218" t="s">
        <v>318</v>
      </c>
      <c r="F218" t="s">
        <v>87</v>
      </c>
      <c r="G218">
        <v>153</v>
      </c>
      <c r="H218">
        <v>647</v>
      </c>
      <c r="I218">
        <v>98991</v>
      </c>
      <c r="J218">
        <v>49604</v>
      </c>
      <c r="K218">
        <v>49387</v>
      </c>
      <c r="L218">
        <v>82200</v>
      </c>
      <c r="M218">
        <v>16791</v>
      </c>
      <c r="N218" t="s">
        <v>319</v>
      </c>
      <c r="O218" t="s">
        <v>189</v>
      </c>
    </row>
    <row r="219" spans="1:15" ht="15.75" customHeight="1" x14ac:dyDescent="0.2">
      <c r="A219" t="s">
        <v>344</v>
      </c>
      <c r="B219" t="s">
        <v>271</v>
      </c>
      <c r="C219" t="s">
        <v>272</v>
      </c>
      <c r="D219" t="s">
        <v>73</v>
      </c>
      <c r="E219" t="s">
        <v>71</v>
      </c>
      <c r="F219" t="s">
        <v>199</v>
      </c>
      <c r="G219">
        <v>350</v>
      </c>
      <c r="H219">
        <v>1721</v>
      </c>
      <c r="I219">
        <v>602350</v>
      </c>
      <c r="J219">
        <v>480547</v>
      </c>
      <c r="K219">
        <v>121803</v>
      </c>
      <c r="L219">
        <v>584650</v>
      </c>
      <c r="M219">
        <v>17700</v>
      </c>
      <c r="N219" t="s">
        <v>341</v>
      </c>
      <c r="O219" t="s">
        <v>331</v>
      </c>
    </row>
    <row r="220" spans="1:15" ht="15.75" customHeight="1" x14ac:dyDescent="0.2">
      <c r="A220" t="s">
        <v>395</v>
      </c>
      <c r="B220" t="s">
        <v>338</v>
      </c>
      <c r="C220" t="s">
        <v>348</v>
      </c>
      <c r="D220" t="s">
        <v>95</v>
      </c>
      <c r="E220" t="s">
        <v>325</v>
      </c>
      <c r="F220" t="s">
        <v>199</v>
      </c>
      <c r="G220">
        <v>347</v>
      </c>
      <c r="H220">
        <v>1791</v>
      </c>
      <c r="I220">
        <v>621477</v>
      </c>
      <c r="J220">
        <v>524024</v>
      </c>
      <c r="K220">
        <v>97453</v>
      </c>
      <c r="L220">
        <v>615014</v>
      </c>
      <c r="M220">
        <v>6463</v>
      </c>
      <c r="N220" t="s">
        <v>322</v>
      </c>
      <c r="O220" t="s">
        <v>326</v>
      </c>
    </row>
    <row r="221" spans="1:15" ht="15.75" customHeight="1" x14ac:dyDescent="0.2">
      <c r="A221" t="s">
        <v>176</v>
      </c>
      <c r="B221" t="s">
        <v>263</v>
      </c>
      <c r="C221" t="s">
        <v>264</v>
      </c>
      <c r="D221" t="s">
        <v>324</v>
      </c>
      <c r="E221" t="s">
        <v>325</v>
      </c>
      <c r="F221" t="s">
        <v>199</v>
      </c>
      <c r="G221">
        <v>182</v>
      </c>
      <c r="H221">
        <v>1008</v>
      </c>
      <c r="I221">
        <v>183456</v>
      </c>
      <c r="J221">
        <v>109949</v>
      </c>
      <c r="K221">
        <v>73507</v>
      </c>
      <c r="L221">
        <v>168931</v>
      </c>
      <c r="M221">
        <v>14525</v>
      </c>
      <c r="N221" t="s">
        <v>186</v>
      </c>
      <c r="O221" t="s">
        <v>326</v>
      </c>
    </row>
    <row r="222" spans="1:15" ht="15.75" customHeight="1" x14ac:dyDescent="0.2">
      <c r="A222" t="s">
        <v>137</v>
      </c>
      <c r="B222" t="s">
        <v>328</v>
      </c>
      <c r="C222" t="s">
        <v>367</v>
      </c>
      <c r="D222" t="s">
        <v>371</v>
      </c>
      <c r="E222" t="s">
        <v>325</v>
      </c>
      <c r="F222" t="s">
        <v>306</v>
      </c>
      <c r="G222">
        <v>427</v>
      </c>
      <c r="H222">
        <v>273</v>
      </c>
      <c r="I222">
        <v>116571</v>
      </c>
      <c r="J222">
        <v>93037</v>
      </c>
      <c r="K222">
        <v>23534</v>
      </c>
      <c r="L222">
        <v>123090</v>
      </c>
      <c r="M222">
        <v>-6519</v>
      </c>
      <c r="N222" t="s">
        <v>186</v>
      </c>
      <c r="O222" t="s">
        <v>326</v>
      </c>
    </row>
    <row r="223" spans="1:15" ht="15.75" customHeight="1" x14ac:dyDescent="0.2">
      <c r="A223" t="s">
        <v>377</v>
      </c>
      <c r="B223" t="s">
        <v>263</v>
      </c>
      <c r="C223" t="s">
        <v>347</v>
      </c>
      <c r="D223" t="s">
        <v>346</v>
      </c>
      <c r="E223" t="s">
        <v>318</v>
      </c>
      <c r="F223" t="s">
        <v>81</v>
      </c>
      <c r="G223">
        <v>176</v>
      </c>
      <c r="H223">
        <v>684</v>
      </c>
      <c r="I223">
        <v>120384</v>
      </c>
      <c r="J223">
        <v>90171</v>
      </c>
      <c r="K223">
        <v>30213</v>
      </c>
      <c r="L223">
        <v>107809</v>
      </c>
      <c r="M223">
        <v>12575</v>
      </c>
      <c r="N223" t="s">
        <v>341</v>
      </c>
      <c r="O223" t="s">
        <v>189</v>
      </c>
    </row>
    <row r="224" spans="1:15" ht="15.75" customHeight="1" x14ac:dyDescent="0.2">
      <c r="A224" t="s">
        <v>129</v>
      </c>
      <c r="B224" t="s">
        <v>263</v>
      </c>
      <c r="C224" t="s">
        <v>264</v>
      </c>
      <c r="D224" t="s">
        <v>335</v>
      </c>
      <c r="E224" t="s">
        <v>82</v>
      </c>
      <c r="F224" t="s">
        <v>74</v>
      </c>
      <c r="G224">
        <v>361</v>
      </c>
      <c r="H224">
        <v>1816</v>
      </c>
      <c r="I224">
        <v>655576</v>
      </c>
      <c r="J224">
        <v>422376</v>
      </c>
      <c r="K224">
        <v>233200</v>
      </c>
      <c r="L224">
        <v>671402</v>
      </c>
      <c r="M224">
        <v>-15826</v>
      </c>
      <c r="N224" t="s">
        <v>322</v>
      </c>
      <c r="O224" t="s">
        <v>189</v>
      </c>
    </row>
    <row r="225" spans="1:15" ht="15.75" customHeight="1" x14ac:dyDescent="0.2">
      <c r="A225" t="s">
        <v>444</v>
      </c>
      <c r="B225" t="s">
        <v>338</v>
      </c>
      <c r="C225" t="s">
        <v>350</v>
      </c>
      <c r="D225" t="s">
        <v>324</v>
      </c>
      <c r="E225" t="s">
        <v>71</v>
      </c>
      <c r="F225" t="s">
        <v>87</v>
      </c>
      <c r="G225">
        <v>116</v>
      </c>
      <c r="H225">
        <v>474</v>
      </c>
      <c r="I225">
        <v>54984</v>
      </c>
      <c r="J225">
        <v>35541</v>
      </c>
      <c r="K225">
        <v>19443</v>
      </c>
      <c r="L225">
        <v>49881</v>
      </c>
      <c r="M225">
        <v>5103</v>
      </c>
      <c r="N225" t="s">
        <v>319</v>
      </c>
      <c r="O225" t="s">
        <v>331</v>
      </c>
    </row>
    <row r="226" spans="1:15" ht="15.75" customHeight="1" x14ac:dyDescent="0.2">
      <c r="A226" t="s">
        <v>129</v>
      </c>
      <c r="B226" t="s">
        <v>338</v>
      </c>
      <c r="C226" t="s">
        <v>339</v>
      </c>
      <c r="D226" t="s">
        <v>223</v>
      </c>
      <c r="E226" t="s">
        <v>325</v>
      </c>
      <c r="F226" t="s">
        <v>70</v>
      </c>
      <c r="G226">
        <v>12</v>
      </c>
      <c r="H226">
        <v>1026</v>
      </c>
      <c r="I226">
        <v>12312</v>
      </c>
      <c r="J226">
        <v>6361</v>
      </c>
      <c r="K226">
        <v>5951</v>
      </c>
      <c r="L226">
        <v>14513</v>
      </c>
      <c r="M226">
        <v>-2201</v>
      </c>
      <c r="N226" t="s">
        <v>319</v>
      </c>
      <c r="O226" t="s">
        <v>189</v>
      </c>
    </row>
    <row r="227" spans="1:15" ht="15.75" customHeight="1" x14ac:dyDescent="0.2">
      <c r="A227" t="s">
        <v>89</v>
      </c>
      <c r="B227" t="s">
        <v>271</v>
      </c>
      <c r="C227" t="s">
        <v>309</v>
      </c>
      <c r="D227" t="s">
        <v>336</v>
      </c>
      <c r="E227" t="s">
        <v>325</v>
      </c>
      <c r="F227" t="s">
        <v>81</v>
      </c>
      <c r="G227">
        <v>62</v>
      </c>
      <c r="H227">
        <v>1737</v>
      </c>
      <c r="I227">
        <v>107694</v>
      </c>
      <c r="J227">
        <v>75468</v>
      </c>
      <c r="K227">
        <v>32226</v>
      </c>
      <c r="L227">
        <v>96671</v>
      </c>
      <c r="M227">
        <v>11023</v>
      </c>
      <c r="N227" t="s">
        <v>341</v>
      </c>
      <c r="O227" t="s">
        <v>326</v>
      </c>
    </row>
    <row r="228" spans="1:15" ht="15.75" customHeight="1" x14ac:dyDescent="0.2">
      <c r="A228" t="s">
        <v>445</v>
      </c>
      <c r="B228" t="s">
        <v>263</v>
      </c>
      <c r="C228" t="s">
        <v>264</v>
      </c>
      <c r="D228" t="s">
        <v>84</v>
      </c>
      <c r="E228" t="s">
        <v>325</v>
      </c>
      <c r="F228" t="s">
        <v>356</v>
      </c>
      <c r="G228">
        <v>321</v>
      </c>
      <c r="H228">
        <v>789</v>
      </c>
      <c r="I228">
        <v>253269</v>
      </c>
      <c r="J228">
        <v>167075</v>
      </c>
      <c r="K228">
        <v>86194</v>
      </c>
      <c r="L228">
        <v>253274</v>
      </c>
      <c r="M228">
        <v>-5</v>
      </c>
      <c r="N228" t="s">
        <v>319</v>
      </c>
      <c r="O228" t="s">
        <v>326</v>
      </c>
    </row>
    <row r="229" spans="1:15" ht="15.75" customHeight="1" x14ac:dyDescent="0.2">
      <c r="A229" t="s">
        <v>72</v>
      </c>
      <c r="B229" t="s">
        <v>263</v>
      </c>
      <c r="C229" t="s">
        <v>347</v>
      </c>
      <c r="D229" t="s">
        <v>273</v>
      </c>
      <c r="E229" t="s">
        <v>325</v>
      </c>
      <c r="F229" t="s">
        <v>87</v>
      </c>
      <c r="G229">
        <v>451</v>
      </c>
      <c r="H229">
        <v>1824</v>
      </c>
      <c r="I229">
        <v>822624</v>
      </c>
      <c r="J229">
        <v>597316</v>
      </c>
      <c r="K229">
        <v>225308</v>
      </c>
      <c r="L229">
        <v>823263</v>
      </c>
      <c r="M229">
        <v>-639</v>
      </c>
      <c r="N229" t="s">
        <v>186</v>
      </c>
      <c r="O229" t="s">
        <v>331</v>
      </c>
    </row>
    <row r="230" spans="1:15" ht="15.75" customHeight="1" x14ac:dyDescent="0.2">
      <c r="A230" t="s">
        <v>127</v>
      </c>
      <c r="B230" t="s">
        <v>271</v>
      </c>
      <c r="C230" t="s">
        <v>272</v>
      </c>
      <c r="D230" t="s">
        <v>84</v>
      </c>
      <c r="E230" t="s">
        <v>82</v>
      </c>
      <c r="F230" t="s">
        <v>92</v>
      </c>
      <c r="G230">
        <v>86</v>
      </c>
      <c r="H230">
        <v>1009</v>
      </c>
      <c r="I230">
        <v>86774</v>
      </c>
      <c r="J230">
        <v>44450</v>
      </c>
      <c r="K230">
        <v>42324</v>
      </c>
      <c r="L230">
        <v>100454</v>
      </c>
      <c r="M230">
        <v>-13680</v>
      </c>
      <c r="N230" t="s">
        <v>322</v>
      </c>
      <c r="O230" t="s">
        <v>326</v>
      </c>
    </row>
    <row r="231" spans="1:15" ht="15.75" customHeight="1" x14ac:dyDescent="0.2">
      <c r="A231" t="s">
        <v>398</v>
      </c>
      <c r="B231" t="s">
        <v>338</v>
      </c>
      <c r="C231" t="s">
        <v>339</v>
      </c>
      <c r="D231" t="s">
        <v>317</v>
      </c>
      <c r="E231" t="s">
        <v>71</v>
      </c>
      <c r="F231" t="s">
        <v>87</v>
      </c>
      <c r="G231">
        <v>205</v>
      </c>
      <c r="H231">
        <v>1941</v>
      </c>
      <c r="I231">
        <v>397905</v>
      </c>
      <c r="J231">
        <v>206425</v>
      </c>
      <c r="K231">
        <v>191480</v>
      </c>
      <c r="L231">
        <v>381919</v>
      </c>
      <c r="M231">
        <v>15986</v>
      </c>
      <c r="N231" t="s">
        <v>322</v>
      </c>
      <c r="O231" t="s">
        <v>189</v>
      </c>
    </row>
    <row r="232" spans="1:15" ht="15.75" customHeight="1" x14ac:dyDescent="0.2">
      <c r="A232" t="s">
        <v>399</v>
      </c>
      <c r="B232" t="s">
        <v>271</v>
      </c>
      <c r="C232" t="s">
        <v>309</v>
      </c>
      <c r="D232" t="s">
        <v>317</v>
      </c>
      <c r="E232" t="s">
        <v>82</v>
      </c>
      <c r="F232" t="s">
        <v>81</v>
      </c>
      <c r="G232">
        <v>308</v>
      </c>
      <c r="H232">
        <v>1691</v>
      </c>
      <c r="I232">
        <v>520828</v>
      </c>
      <c r="J232">
        <v>431986</v>
      </c>
      <c r="K232">
        <v>88842</v>
      </c>
      <c r="L232">
        <v>520237</v>
      </c>
      <c r="M232">
        <v>591</v>
      </c>
      <c r="N232" t="s">
        <v>341</v>
      </c>
      <c r="O232" t="s">
        <v>320</v>
      </c>
    </row>
    <row r="233" spans="1:15" ht="15.75" customHeight="1" x14ac:dyDescent="0.2">
      <c r="A233" t="s">
        <v>128</v>
      </c>
      <c r="B233" t="s">
        <v>328</v>
      </c>
      <c r="C233" t="s">
        <v>359</v>
      </c>
      <c r="D233" t="s">
        <v>69</v>
      </c>
      <c r="E233" t="s">
        <v>71</v>
      </c>
      <c r="F233" t="s">
        <v>87</v>
      </c>
      <c r="G233">
        <v>54</v>
      </c>
      <c r="H233">
        <v>1723</v>
      </c>
      <c r="I233">
        <v>93042</v>
      </c>
      <c r="J233">
        <v>72939</v>
      </c>
      <c r="K233">
        <v>20103</v>
      </c>
      <c r="L233">
        <v>83992</v>
      </c>
      <c r="M233">
        <v>9050</v>
      </c>
      <c r="N233" t="s">
        <v>322</v>
      </c>
      <c r="O233" t="s">
        <v>320</v>
      </c>
    </row>
    <row r="234" spans="1:15" ht="15.75" customHeight="1" x14ac:dyDescent="0.2">
      <c r="A234" t="s">
        <v>374</v>
      </c>
      <c r="B234" t="s">
        <v>333</v>
      </c>
      <c r="C234" t="s">
        <v>370</v>
      </c>
      <c r="D234" t="s">
        <v>223</v>
      </c>
      <c r="E234" t="s">
        <v>318</v>
      </c>
      <c r="F234" t="s">
        <v>81</v>
      </c>
      <c r="G234">
        <v>79</v>
      </c>
      <c r="H234">
        <v>2000</v>
      </c>
      <c r="I234">
        <v>158000</v>
      </c>
      <c r="J234">
        <v>93726</v>
      </c>
      <c r="K234">
        <v>64274</v>
      </c>
      <c r="L234">
        <v>164677</v>
      </c>
      <c r="M234">
        <v>-6677</v>
      </c>
      <c r="N234" t="s">
        <v>341</v>
      </c>
      <c r="O234" t="s">
        <v>326</v>
      </c>
    </row>
    <row r="235" spans="1:15" ht="15.75" customHeight="1" x14ac:dyDescent="0.2">
      <c r="A235" t="s">
        <v>418</v>
      </c>
      <c r="B235" t="s">
        <v>333</v>
      </c>
      <c r="C235" t="s">
        <v>311</v>
      </c>
      <c r="D235" t="s">
        <v>336</v>
      </c>
      <c r="E235" t="s">
        <v>325</v>
      </c>
      <c r="F235" t="s">
        <v>81</v>
      </c>
      <c r="G235">
        <v>306</v>
      </c>
      <c r="H235">
        <v>52</v>
      </c>
      <c r="I235">
        <v>15912</v>
      </c>
      <c r="J235">
        <v>9823</v>
      </c>
      <c r="K235">
        <v>6089</v>
      </c>
      <c r="L235">
        <v>34476</v>
      </c>
      <c r="M235">
        <v>-18564</v>
      </c>
      <c r="N235" t="s">
        <v>341</v>
      </c>
      <c r="O235" t="s">
        <v>331</v>
      </c>
    </row>
    <row r="236" spans="1:15" ht="15.75" customHeight="1" x14ac:dyDescent="0.2">
      <c r="A236" t="s">
        <v>291</v>
      </c>
      <c r="B236" t="s">
        <v>271</v>
      </c>
      <c r="C236" t="s">
        <v>272</v>
      </c>
      <c r="D236" t="s">
        <v>391</v>
      </c>
      <c r="E236" t="s">
        <v>318</v>
      </c>
      <c r="F236" t="s">
        <v>74</v>
      </c>
      <c r="G236">
        <v>197</v>
      </c>
      <c r="H236">
        <v>1835</v>
      </c>
      <c r="I236">
        <v>361495</v>
      </c>
      <c r="J236">
        <v>235200</v>
      </c>
      <c r="K236">
        <v>126295</v>
      </c>
      <c r="L236">
        <v>364742</v>
      </c>
      <c r="M236">
        <v>-3247</v>
      </c>
      <c r="N236" t="s">
        <v>341</v>
      </c>
      <c r="O236" t="s">
        <v>331</v>
      </c>
    </row>
    <row r="237" spans="1:15" ht="15.75" customHeight="1" x14ac:dyDescent="0.2">
      <c r="A237" t="s">
        <v>249</v>
      </c>
      <c r="B237" t="s">
        <v>338</v>
      </c>
      <c r="C237" t="s">
        <v>350</v>
      </c>
      <c r="D237" t="s">
        <v>223</v>
      </c>
      <c r="E237" t="s">
        <v>325</v>
      </c>
      <c r="F237" t="s">
        <v>306</v>
      </c>
      <c r="G237">
        <v>266</v>
      </c>
      <c r="H237">
        <v>120</v>
      </c>
      <c r="I237">
        <v>31920</v>
      </c>
      <c r="J237">
        <v>24862</v>
      </c>
      <c r="K237">
        <v>7058</v>
      </c>
      <c r="L237">
        <v>24860</v>
      </c>
      <c r="M237">
        <v>7060</v>
      </c>
      <c r="N237" t="s">
        <v>322</v>
      </c>
      <c r="O237" t="s">
        <v>326</v>
      </c>
    </row>
    <row r="238" spans="1:15" ht="15.75" customHeight="1" x14ac:dyDescent="0.2">
      <c r="A238" t="s">
        <v>446</v>
      </c>
      <c r="B238" t="s">
        <v>333</v>
      </c>
      <c r="C238" t="s">
        <v>383</v>
      </c>
      <c r="D238" t="s">
        <v>391</v>
      </c>
      <c r="E238" t="s">
        <v>325</v>
      </c>
      <c r="F238" t="s">
        <v>306</v>
      </c>
      <c r="G238">
        <v>406</v>
      </c>
      <c r="H238">
        <v>1401</v>
      </c>
      <c r="I238">
        <v>568806</v>
      </c>
      <c r="J238">
        <v>455103</v>
      </c>
      <c r="K238">
        <v>113703</v>
      </c>
      <c r="L238">
        <v>575827</v>
      </c>
      <c r="M238">
        <v>-7021</v>
      </c>
      <c r="N238" t="s">
        <v>186</v>
      </c>
      <c r="O238" t="s">
        <v>326</v>
      </c>
    </row>
    <row r="239" spans="1:15" ht="15.75" customHeight="1" x14ac:dyDescent="0.2">
      <c r="A239" t="s">
        <v>156</v>
      </c>
      <c r="B239" t="s">
        <v>333</v>
      </c>
      <c r="C239" t="s">
        <v>265</v>
      </c>
      <c r="D239" t="s">
        <v>336</v>
      </c>
      <c r="E239" t="s">
        <v>71</v>
      </c>
      <c r="F239" t="s">
        <v>74</v>
      </c>
      <c r="G239">
        <v>108</v>
      </c>
      <c r="H239">
        <v>995</v>
      </c>
      <c r="I239">
        <v>107460</v>
      </c>
      <c r="J239">
        <v>62672</v>
      </c>
      <c r="K239">
        <v>44788</v>
      </c>
      <c r="L239">
        <v>108065</v>
      </c>
      <c r="M239">
        <v>-605</v>
      </c>
      <c r="N239" t="s">
        <v>186</v>
      </c>
      <c r="O239" t="s">
        <v>320</v>
      </c>
    </row>
    <row r="240" spans="1:15" ht="15.75" customHeight="1" x14ac:dyDescent="0.2">
      <c r="A240" t="s">
        <v>254</v>
      </c>
      <c r="B240" t="s">
        <v>338</v>
      </c>
      <c r="C240" t="s">
        <v>339</v>
      </c>
      <c r="D240" t="s">
        <v>84</v>
      </c>
      <c r="E240" t="s">
        <v>71</v>
      </c>
      <c r="F240" t="s">
        <v>199</v>
      </c>
      <c r="G240">
        <v>487</v>
      </c>
      <c r="H240">
        <v>1438</v>
      </c>
      <c r="I240">
        <v>700306</v>
      </c>
      <c r="J240">
        <v>375477</v>
      </c>
      <c r="K240">
        <v>324829</v>
      </c>
      <c r="L240">
        <v>697855</v>
      </c>
      <c r="M240">
        <v>2451</v>
      </c>
      <c r="N240" t="s">
        <v>186</v>
      </c>
      <c r="O240" t="s">
        <v>326</v>
      </c>
    </row>
    <row r="241" spans="1:15" ht="15.75" customHeight="1" x14ac:dyDescent="0.2">
      <c r="A241" t="s">
        <v>405</v>
      </c>
      <c r="B241" t="s">
        <v>333</v>
      </c>
      <c r="C241" t="s">
        <v>265</v>
      </c>
      <c r="D241" t="s">
        <v>95</v>
      </c>
      <c r="E241" t="s">
        <v>318</v>
      </c>
      <c r="F241" t="s">
        <v>87</v>
      </c>
      <c r="G241">
        <v>215</v>
      </c>
      <c r="H241">
        <v>1108</v>
      </c>
      <c r="I241">
        <v>238220</v>
      </c>
      <c r="J241">
        <v>128025</v>
      </c>
      <c r="K241">
        <v>110195</v>
      </c>
      <c r="L241">
        <v>242288</v>
      </c>
      <c r="M241">
        <v>-4068</v>
      </c>
      <c r="N241" t="s">
        <v>322</v>
      </c>
      <c r="O241" t="s">
        <v>326</v>
      </c>
    </row>
    <row r="242" spans="1:15" ht="15.75" customHeight="1" x14ac:dyDescent="0.2">
      <c r="A242" t="s">
        <v>113</v>
      </c>
      <c r="B242" t="s">
        <v>271</v>
      </c>
      <c r="C242" t="s">
        <v>272</v>
      </c>
      <c r="D242" t="s">
        <v>335</v>
      </c>
      <c r="E242" t="s">
        <v>71</v>
      </c>
      <c r="F242" t="s">
        <v>356</v>
      </c>
      <c r="G242">
        <v>131</v>
      </c>
      <c r="H242">
        <v>131</v>
      </c>
      <c r="I242">
        <v>17161</v>
      </c>
      <c r="J242">
        <v>8863</v>
      </c>
      <c r="K242">
        <v>8298</v>
      </c>
      <c r="L242">
        <v>30713</v>
      </c>
      <c r="M242">
        <v>-13552</v>
      </c>
      <c r="N242" t="s">
        <v>319</v>
      </c>
      <c r="O242" t="s">
        <v>189</v>
      </c>
    </row>
    <row r="243" spans="1:15" ht="15.75" customHeight="1" x14ac:dyDescent="0.2">
      <c r="A243" t="s">
        <v>171</v>
      </c>
      <c r="B243" t="s">
        <v>328</v>
      </c>
      <c r="C243" t="s">
        <v>283</v>
      </c>
      <c r="D243" t="s">
        <v>330</v>
      </c>
      <c r="E243" t="s">
        <v>71</v>
      </c>
      <c r="F243" t="s">
        <v>74</v>
      </c>
      <c r="G243">
        <v>293</v>
      </c>
      <c r="H243">
        <v>926</v>
      </c>
      <c r="I243">
        <v>271318</v>
      </c>
      <c r="J243">
        <v>192402</v>
      </c>
      <c r="K243">
        <v>78916</v>
      </c>
      <c r="L243">
        <v>269299</v>
      </c>
      <c r="M243">
        <v>2019</v>
      </c>
      <c r="N243" t="s">
        <v>319</v>
      </c>
      <c r="O243" t="s">
        <v>320</v>
      </c>
    </row>
    <row r="244" spans="1:15" ht="15.75" customHeight="1" x14ac:dyDescent="0.2">
      <c r="A244" t="s">
        <v>447</v>
      </c>
      <c r="B244" t="s">
        <v>333</v>
      </c>
      <c r="C244" t="s">
        <v>265</v>
      </c>
      <c r="D244" t="s">
        <v>95</v>
      </c>
      <c r="E244" t="s">
        <v>318</v>
      </c>
      <c r="F244" t="s">
        <v>81</v>
      </c>
      <c r="G244">
        <v>475</v>
      </c>
      <c r="H244">
        <v>1629</v>
      </c>
      <c r="I244">
        <v>773775</v>
      </c>
      <c r="J244">
        <v>625347</v>
      </c>
      <c r="K244">
        <v>148428</v>
      </c>
      <c r="L244">
        <v>765692</v>
      </c>
      <c r="M244">
        <v>8083</v>
      </c>
      <c r="N244" t="s">
        <v>186</v>
      </c>
      <c r="O244" t="s">
        <v>331</v>
      </c>
    </row>
    <row r="245" spans="1:15" ht="15.75" customHeight="1" x14ac:dyDescent="0.2">
      <c r="A245" t="s">
        <v>288</v>
      </c>
      <c r="B245" t="s">
        <v>271</v>
      </c>
      <c r="C245" t="s">
        <v>270</v>
      </c>
      <c r="D245" t="s">
        <v>95</v>
      </c>
      <c r="E245" t="s">
        <v>82</v>
      </c>
      <c r="F245" t="s">
        <v>356</v>
      </c>
      <c r="G245">
        <v>145</v>
      </c>
      <c r="H245">
        <v>970</v>
      </c>
      <c r="I245">
        <v>140650</v>
      </c>
      <c r="J245">
        <v>93329</v>
      </c>
      <c r="K245">
        <v>47321</v>
      </c>
      <c r="L245">
        <v>137621</v>
      </c>
      <c r="M245">
        <v>3029</v>
      </c>
      <c r="N245" t="s">
        <v>341</v>
      </c>
      <c r="O245" t="s">
        <v>320</v>
      </c>
    </row>
    <row r="246" spans="1:15" ht="15.75" customHeight="1" x14ac:dyDescent="0.2">
      <c r="A246" t="s">
        <v>448</v>
      </c>
      <c r="B246" t="s">
        <v>333</v>
      </c>
      <c r="C246" t="s">
        <v>343</v>
      </c>
      <c r="D246" t="s">
        <v>73</v>
      </c>
      <c r="E246" t="s">
        <v>325</v>
      </c>
      <c r="F246" t="s">
        <v>87</v>
      </c>
      <c r="G246">
        <v>124</v>
      </c>
      <c r="H246">
        <v>1640</v>
      </c>
      <c r="I246">
        <v>203360</v>
      </c>
      <c r="J246">
        <v>119843</v>
      </c>
      <c r="K246">
        <v>83517</v>
      </c>
      <c r="L246">
        <v>218519</v>
      </c>
      <c r="M246">
        <v>-15159</v>
      </c>
      <c r="N246" t="s">
        <v>322</v>
      </c>
      <c r="O246" t="s">
        <v>331</v>
      </c>
    </row>
    <row r="247" spans="1:15" ht="15.75" customHeight="1" x14ac:dyDescent="0.2">
      <c r="A247" t="s">
        <v>449</v>
      </c>
      <c r="B247" t="s">
        <v>271</v>
      </c>
      <c r="C247" t="s">
        <v>270</v>
      </c>
      <c r="D247" t="s">
        <v>340</v>
      </c>
      <c r="E247" t="s">
        <v>318</v>
      </c>
      <c r="F247" t="s">
        <v>70</v>
      </c>
      <c r="G247">
        <v>470</v>
      </c>
      <c r="H247">
        <v>204</v>
      </c>
      <c r="I247">
        <v>95880</v>
      </c>
      <c r="J247">
        <v>58403</v>
      </c>
      <c r="K247">
        <v>37477</v>
      </c>
      <c r="L247">
        <v>95769</v>
      </c>
      <c r="M247">
        <v>111</v>
      </c>
      <c r="N247" t="s">
        <v>341</v>
      </c>
      <c r="O247" t="s">
        <v>189</v>
      </c>
    </row>
    <row r="248" spans="1:15" ht="15.75" customHeight="1" x14ac:dyDescent="0.2">
      <c r="A248" t="s">
        <v>238</v>
      </c>
      <c r="B248" t="s">
        <v>328</v>
      </c>
      <c r="C248" t="s">
        <v>359</v>
      </c>
      <c r="D248" t="s">
        <v>335</v>
      </c>
      <c r="E248" t="s">
        <v>325</v>
      </c>
      <c r="F248" t="s">
        <v>70</v>
      </c>
      <c r="G248">
        <v>297</v>
      </c>
      <c r="H248">
        <v>928</v>
      </c>
      <c r="I248">
        <v>275616</v>
      </c>
      <c r="J248">
        <v>199658</v>
      </c>
      <c r="K248">
        <v>75958</v>
      </c>
      <c r="L248">
        <v>285465</v>
      </c>
      <c r="M248">
        <v>-9849</v>
      </c>
      <c r="N248" t="s">
        <v>186</v>
      </c>
      <c r="O248" t="s">
        <v>326</v>
      </c>
    </row>
    <row r="249" spans="1:15" ht="15.75" customHeight="1" x14ac:dyDescent="0.2">
      <c r="A249" t="s">
        <v>450</v>
      </c>
      <c r="B249" t="s">
        <v>263</v>
      </c>
      <c r="C249" t="s">
        <v>264</v>
      </c>
      <c r="D249" t="s">
        <v>336</v>
      </c>
      <c r="E249" t="s">
        <v>71</v>
      </c>
      <c r="F249" t="s">
        <v>199</v>
      </c>
      <c r="G249">
        <v>433</v>
      </c>
      <c r="H249">
        <v>1336</v>
      </c>
      <c r="I249">
        <v>578488</v>
      </c>
      <c r="J249">
        <v>491602</v>
      </c>
      <c r="K249">
        <v>86886</v>
      </c>
      <c r="L249">
        <v>589783</v>
      </c>
      <c r="M249">
        <v>-11295</v>
      </c>
      <c r="N249" t="s">
        <v>186</v>
      </c>
      <c r="O249" t="s">
        <v>326</v>
      </c>
    </row>
    <row r="250" spans="1:15" ht="15.75" customHeight="1" x14ac:dyDescent="0.2">
      <c r="A250" t="s">
        <v>83</v>
      </c>
      <c r="B250" t="s">
        <v>338</v>
      </c>
      <c r="C250" t="s">
        <v>339</v>
      </c>
      <c r="D250" t="s">
        <v>336</v>
      </c>
      <c r="E250" t="s">
        <v>325</v>
      </c>
      <c r="F250" t="s">
        <v>356</v>
      </c>
      <c r="G250">
        <v>100</v>
      </c>
      <c r="H250">
        <v>354</v>
      </c>
      <c r="I250">
        <v>35400</v>
      </c>
      <c r="J250">
        <v>18510</v>
      </c>
      <c r="K250">
        <v>16890</v>
      </c>
      <c r="L250">
        <v>44309</v>
      </c>
      <c r="M250">
        <v>-8909</v>
      </c>
      <c r="N250" t="s">
        <v>319</v>
      </c>
      <c r="O250" t="s">
        <v>320</v>
      </c>
    </row>
    <row r="251" spans="1:15" ht="15.75" customHeight="1" x14ac:dyDescent="0.2">
      <c r="A251" t="s">
        <v>172</v>
      </c>
      <c r="B251" t="s">
        <v>333</v>
      </c>
      <c r="C251" t="s">
        <v>269</v>
      </c>
      <c r="D251" t="s">
        <v>69</v>
      </c>
      <c r="E251" t="s">
        <v>325</v>
      </c>
      <c r="F251" t="s">
        <v>356</v>
      </c>
      <c r="G251">
        <v>260</v>
      </c>
      <c r="H251">
        <v>1583</v>
      </c>
      <c r="I251">
        <v>411580</v>
      </c>
      <c r="J251">
        <v>281930</v>
      </c>
      <c r="K251">
        <v>129650</v>
      </c>
      <c r="L251">
        <v>394844</v>
      </c>
      <c r="M251">
        <v>16736</v>
      </c>
      <c r="N251" t="s">
        <v>322</v>
      </c>
      <c r="O251" t="s">
        <v>326</v>
      </c>
    </row>
    <row r="252" spans="1:15" ht="15.75" customHeight="1" x14ac:dyDescent="0.2">
      <c r="A252" t="s">
        <v>361</v>
      </c>
      <c r="B252" t="s">
        <v>338</v>
      </c>
      <c r="C252" t="s">
        <v>339</v>
      </c>
      <c r="D252" t="s">
        <v>340</v>
      </c>
      <c r="E252" t="s">
        <v>318</v>
      </c>
      <c r="F252" t="s">
        <v>92</v>
      </c>
      <c r="G252">
        <v>319</v>
      </c>
      <c r="H252">
        <v>295</v>
      </c>
      <c r="I252">
        <v>94105</v>
      </c>
      <c r="J252">
        <v>71578</v>
      </c>
      <c r="K252">
        <v>22527</v>
      </c>
      <c r="L252">
        <v>107437</v>
      </c>
      <c r="M252">
        <v>-13332</v>
      </c>
      <c r="N252" t="s">
        <v>322</v>
      </c>
      <c r="O252" t="s">
        <v>326</v>
      </c>
    </row>
    <row r="253" spans="1:15" ht="15.75" customHeight="1" x14ac:dyDescent="0.2">
      <c r="A253" t="s">
        <v>155</v>
      </c>
      <c r="B253" t="s">
        <v>338</v>
      </c>
      <c r="C253" t="s">
        <v>348</v>
      </c>
      <c r="D253" t="s">
        <v>335</v>
      </c>
      <c r="E253" t="s">
        <v>82</v>
      </c>
      <c r="F253" t="s">
        <v>356</v>
      </c>
      <c r="G253">
        <v>362</v>
      </c>
      <c r="H253">
        <v>1712</v>
      </c>
      <c r="I253">
        <v>619744</v>
      </c>
      <c r="J253">
        <v>499221</v>
      </c>
      <c r="K253">
        <v>120523</v>
      </c>
      <c r="L253">
        <v>611257</v>
      </c>
      <c r="M253">
        <v>8487</v>
      </c>
      <c r="N253" t="s">
        <v>341</v>
      </c>
      <c r="O253" t="s">
        <v>320</v>
      </c>
    </row>
    <row r="254" spans="1:15" ht="15.75" customHeight="1" x14ac:dyDescent="0.2">
      <c r="A254" t="s">
        <v>178</v>
      </c>
      <c r="B254" t="s">
        <v>263</v>
      </c>
      <c r="C254" t="s">
        <v>347</v>
      </c>
      <c r="D254" t="s">
        <v>340</v>
      </c>
      <c r="E254" t="s">
        <v>325</v>
      </c>
      <c r="F254" t="s">
        <v>74</v>
      </c>
      <c r="G254">
        <v>211</v>
      </c>
      <c r="H254">
        <v>1032</v>
      </c>
      <c r="I254">
        <v>217752</v>
      </c>
      <c r="J254">
        <v>148647</v>
      </c>
      <c r="K254">
        <v>69105</v>
      </c>
      <c r="L254">
        <v>223819</v>
      </c>
      <c r="M254">
        <v>-6067</v>
      </c>
      <c r="N254" t="s">
        <v>322</v>
      </c>
      <c r="O254" t="s">
        <v>326</v>
      </c>
    </row>
    <row r="255" spans="1:15" ht="15.75" customHeight="1" x14ac:dyDescent="0.2">
      <c r="A255" t="s">
        <v>422</v>
      </c>
      <c r="B255" t="s">
        <v>263</v>
      </c>
      <c r="C255" t="s">
        <v>347</v>
      </c>
      <c r="D255" t="s">
        <v>77</v>
      </c>
      <c r="E255" t="s">
        <v>325</v>
      </c>
      <c r="F255" t="s">
        <v>199</v>
      </c>
      <c r="G255">
        <v>253</v>
      </c>
      <c r="H255">
        <v>678</v>
      </c>
      <c r="I255">
        <v>171534</v>
      </c>
      <c r="J255">
        <v>112783</v>
      </c>
      <c r="K255">
        <v>58751</v>
      </c>
      <c r="L255">
        <v>156334</v>
      </c>
      <c r="M255">
        <v>15200</v>
      </c>
      <c r="N255" t="s">
        <v>319</v>
      </c>
      <c r="O255" t="s">
        <v>189</v>
      </c>
    </row>
    <row r="256" spans="1:15" ht="15.75" customHeight="1" x14ac:dyDescent="0.2">
      <c r="A256" t="s">
        <v>372</v>
      </c>
      <c r="B256" t="s">
        <v>328</v>
      </c>
      <c r="C256" t="s">
        <v>359</v>
      </c>
      <c r="D256" t="s">
        <v>73</v>
      </c>
      <c r="E256" t="s">
        <v>325</v>
      </c>
      <c r="F256" t="s">
        <v>87</v>
      </c>
      <c r="G256">
        <v>426</v>
      </c>
      <c r="H256">
        <v>1106</v>
      </c>
      <c r="I256">
        <v>471156</v>
      </c>
      <c r="J256">
        <v>245855</v>
      </c>
      <c r="K256">
        <v>225301</v>
      </c>
      <c r="L256">
        <v>484606</v>
      </c>
      <c r="M256">
        <v>-13450</v>
      </c>
      <c r="N256" t="s">
        <v>319</v>
      </c>
      <c r="O256" t="s">
        <v>320</v>
      </c>
    </row>
    <row r="257" spans="1:15" ht="15.75" customHeight="1" x14ac:dyDescent="0.2">
      <c r="A257" t="s">
        <v>157</v>
      </c>
      <c r="B257" t="s">
        <v>271</v>
      </c>
      <c r="C257" t="s">
        <v>309</v>
      </c>
      <c r="D257" t="s">
        <v>95</v>
      </c>
      <c r="E257" t="s">
        <v>325</v>
      </c>
      <c r="F257" t="s">
        <v>87</v>
      </c>
      <c r="G257">
        <v>389</v>
      </c>
      <c r="H257">
        <v>124</v>
      </c>
      <c r="I257">
        <v>48236</v>
      </c>
      <c r="J257">
        <v>30981</v>
      </c>
      <c r="K257">
        <v>17255</v>
      </c>
      <c r="L257">
        <v>54740</v>
      </c>
      <c r="M257">
        <v>-6504</v>
      </c>
      <c r="N257" t="s">
        <v>186</v>
      </c>
      <c r="O257" t="s">
        <v>326</v>
      </c>
    </row>
    <row r="258" spans="1:15" ht="15.75" customHeight="1" x14ac:dyDescent="0.2">
      <c r="A258" t="s">
        <v>176</v>
      </c>
      <c r="B258" t="s">
        <v>333</v>
      </c>
      <c r="C258" t="s">
        <v>383</v>
      </c>
      <c r="D258" t="s">
        <v>273</v>
      </c>
      <c r="E258" t="s">
        <v>71</v>
      </c>
      <c r="F258" t="s">
        <v>306</v>
      </c>
      <c r="G258">
        <v>292</v>
      </c>
      <c r="H258">
        <v>673</v>
      </c>
      <c r="I258">
        <v>196516</v>
      </c>
      <c r="J258">
        <v>114066</v>
      </c>
      <c r="K258">
        <v>82450</v>
      </c>
      <c r="L258">
        <v>213458</v>
      </c>
      <c r="M258">
        <v>-16942</v>
      </c>
      <c r="N258" t="s">
        <v>341</v>
      </c>
      <c r="O258" t="s">
        <v>320</v>
      </c>
    </row>
    <row r="259" spans="1:15" ht="15.75" customHeight="1" x14ac:dyDescent="0.2">
      <c r="A259" t="s">
        <v>373</v>
      </c>
      <c r="B259" t="s">
        <v>338</v>
      </c>
      <c r="C259" t="s">
        <v>345</v>
      </c>
      <c r="D259" t="s">
        <v>360</v>
      </c>
      <c r="E259" t="s">
        <v>71</v>
      </c>
      <c r="F259" t="s">
        <v>199</v>
      </c>
      <c r="G259">
        <v>67</v>
      </c>
      <c r="H259">
        <v>457</v>
      </c>
      <c r="I259">
        <v>30619</v>
      </c>
      <c r="J259">
        <v>24522</v>
      </c>
      <c r="K259">
        <v>6097</v>
      </c>
      <c r="L259">
        <v>23459</v>
      </c>
      <c r="M259">
        <v>7160</v>
      </c>
      <c r="N259" t="s">
        <v>341</v>
      </c>
      <c r="O259" t="s">
        <v>320</v>
      </c>
    </row>
    <row r="260" spans="1:15" ht="15.75" customHeight="1" x14ac:dyDescent="0.2">
      <c r="A260" t="s">
        <v>139</v>
      </c>
      <c r="B260" t="s">
        <v>338</v>
      </c>
      <c r="C260" t="s">
        <v>348</v>
      </c>
      <c r="D260" t="s">
        <v>73</v>
      </c>
      <c r="E260" t="s">
        <v>318</v>
      </c>
      <c r="F260" t="s">
        <v>356</v>
      </c>
      <c r="G260">
        <v>77</v>
      </c>
      <c r="H260">
        <v>187</v>
      </c>
      <c r="I260">
        <v>14399</v>
      </c>
      <c r="J260">
        <v>10307</v>
      </c>
      <c r="K260">
        <v>4092</v>
      </c>
      <c r="L260">
        <v>19687</v>
      </c>
      <c r="M260">
        <v>-5288</v>
      </c>
      <c r="N260" t="s">
        <v>341</v>
      </c>
      <c r="O260" t="s">
        <v>189</v>
      </c>
    </row>
    <row r="261" spans="1:15" ht="15.75" customHeight="1" x14ac:dyDescent="0.2">
      <c r="A261" t="s">
        <v>357</v>
      </c>
      <c r="B261" t="s">
        <v>338</v>
      </c>
      <c r="C261" t="s">
        <v>345</v>
      </c>
      <c r="D261" t="s">
        <v>73</v>
      </c>
      <c r="E261" t="s">
        <v>82</v>
      </c>
      <c r="F261" t="s">
        <v>70</v>
      </c>
      <c r="G261">
        <v>291</v>
      </c>
      <c r="H261">
        <v>1457</v>
      </c>
      <c r="I261">
        <v>423987</v>
      </c>
      <c r="J261">
        <v>276384</v>
      </c>
      <c r="K261">
        <v>147603</v>
      </c>
      <c r="L261">
        <v>412064</v>
      </c>
      <c r="M261">
        <v>11923</v>
      </c>
      <c r="N261" t="s">
        <v>319</v>
      </c>
      <c r="O261" t="s">
        <v>189</v>
      </c>
    </row>
    <row r="262" spans="1:15" ht="15.75" customHeight="1" x14ac:dyDescent="0.2">
      <c r="A262" t="s">
        <v>395</v>
      </c>
      <c r="B262" t="s">
        <v>328</v>
      </c>
      <c r="C262" t="s">
        <v>359</v>
      </c>
      <c r="D262" t="s">
        <v>360</v>
      </c>
      <c r="E262" t="s">
        <v>71</v>
      </c>
      <c r="F262" t="s">
        <v>199</v>
      </c>
      <c r="G262">
        <v>288</v>
      </c>
      <c r="H262">
        <v>1980</v>
      </c>
      <c r="I262">
        <v>570240</v>
      </c>
      <c r="J262">
        <v>476789</v>
      </c>
      <c r="K262">
        <v>93451</v>
      </c>
      <c r="L262">
        <v>553149</v>
      </c>
      <c r="M262">
        <v>17091</v>
      </c>
      <c r="N262" t="s">
        <v>319</v>
      </c>
      <c r="O262" t="s">
        <v>331</v>
      </c>
    </row>
    <row r="263" spans="1:15" ht="15.75" customHeight="1" x14ac:dyDescent="0.2">
      <c r="A263" t="s">
        <v>451</v>
      </c>
      <c r="B263" t="s">
        <v>338</v>
      </c>
      <c r="C263" t="s">
        <v>345</v>
      </c>
      <c r="D263" t="s">
        <v>340</v>
      </c>
      <c r="E263" t="s">
        <v>82</v>
      </c>
      <c r="F263" t="s">
        <v>87</v>
      </c>
      <c r="G263">
        <v>178</v>
      </c>
      <c r="H263">
        <v>1141</v>
      </c>
      <c r="I263">
        <v>203098</v>
      </c>
      <c r="J263">
        <v>108880</v>
      </c>
      <c r="K263">
        <v>94218</v>
      </c>
      <c r="L263">
        <v>211387</v>
      </c>
      <c r="M263">
        <v>-8289</v>
      </c>
      <c r="N263" t="s">
        <v>341</v>
      </c>
      <c r="O263" t="s">
        <v>320</v>
      </c>
    </row>
    <row r="264" spans="1:15" ht="15.75" customHeight="1" x14ac:dyDescent="0.2">
      <c r="A264" t="s">
        <v>297</v>
      </c>
      <c r="B264" t="s">
        <v>333</v>
      </c>
      <c r="C264" t="s">
        <v>370</v>
      </c>
      <c r="D264" t="s">
        <v>317</v>
      </c>
      <c r="E264" t="s">
        <v>325</v>
      </c>
      <c r="F264" t="s">
        <v>306</v>
      </c>
      <c r="G264">
        <v>366</v>
      </c>
      <c r="H264">
        <v>1750</v>
      </c>
      <c r="I264">
        <v>640500</v>
      </c>
      <c r="J264">
        <v>470263</v>
      </c>
      <c r="K264">
        <v>170237</v>
      </c>
      <c r="L264">
        <v>626185</v>
      </c>
      <c r="M264">
        <v>14315</v>
      </c>
      <c r="N264" t="s">
        <v>186</v>
      </c>
      <c r="O264" t="s">
        <v>326</v>
      </c>
    </row>
    <row r="265" spans="1:15" ht="15.75" customHeight="1" x14ac:dyDescent="0.2">
      <c r="A265" t="s">
        <v>167</v>
      </c>
      <c r="B265" t="s">
        <v>271</v>
      </c>
      <c r="C265" t="s">
        <v>309</v>
      </c>
      <c r="D265" t="s">
        <v>346</v>
      </c>
      <c r="E265" t="s">
        <v>71</v>
      </c>
      <c r="F265" t="s">
        <v>70</v>
      </c>
      <c r="G265">
        <v>353</v>
      </c>
      <c r="H265">
        <v>1372</v>
      </c>
      <c r="I265">
        <v>484316</v>
      </c>
      <c r="J265">
        <v>342283</v>
      </c>
      <c r="K265">
        <v>142033</v>
      </c>
      <c r="L265">
        <v>479479</v>
      </c>
      <c r="M265">
        <v>4837</v>
      </c>
      <c r="N265" t="s">
        <v>322</v>
      </c>
      <c r="O265" t="s">
        <v>320</v>
      </c>
    </row>
    <row r="266" spans="1:15" ht="15.75" customHeight="1" x14ac:dyDescent="0.2">
      <c r="A266" t="s">
        <v>452</v>
      </c>
      <c r="B266" t="s">
        <v>338</v>
      </c>
      <c r="C266" t="s">
        <v>350</v>
      </c>
      <c r="D266" t="s">
        <v>335</v>
      </c>
      <c r="E266" t="s">
        <v>325</v>
      </c>
      <c r="F266" t="s">
        <v>199</v>
      </c>
      <c r="G266">
        <v>455</v>
      </c>
      <c r="H266">
        <v>1220</v>
      </c>
      <c r="I266">
        <v>555100</v>
      </c>
      <c r="J266">
        <v>359798</v>
      </c>
      <c r="K266">
        <v>195302</v>
      </c>
      <c r="L266">
        <v>551567</v>
      </c>
      <c r="M266">
        <v>3533</v>
      </c>
      <c r="N266" t="s">
        <v>322</v>
      </c>
      <c r="O266" t="s">
        <v>326</v>
      </c>
    </row>
    <row r="267" spans="1:15" ht="15.75" customHeight="1" x14ac:dyDescent="0.2">
      <c r="A267" t="s">
        <v>327</v>
      </c>
      <c r="B267" t="s">
        <v>338</v>
      </c>
      <c r="C267" t="s">
        <v>339</v>
      </c>
      <c r="D267" t="s">
        <v>273</v>
      </c>
      <c r="E267" t="s">
        <v>318</v>
      </c>
      <c r="F267" t="s">
        <v>87</v>
      </c>
      <c r="G267">
        <v>146</v>
      </c>
      <c r="H267">
        <v>1356</v>
      </c>
      <c r="I267">
        <v>197976</v>
      </c>
      <c r="J267">
        <v>121243</v>
      </c>
      <c r="K267">
        <v>76733</v>
      </c>
      <c r="L267">
        <v>200949</v>
      </c>
      <c r="M267">
        <v>-2973</v>
      </c>
      <c r="N267" t="s">
        <v>186</v>
      </c>
      <c r="O267" t="s">
        <v>326</v>
      </c>
    </row>
    <row r="268" spans="1:15" ht="15.75" customHeight="1" x14ac:dyDescent="0.2">
      <c r="A268" t="s">
        <v>453</v>
      </c>
      <c r="B268" t="s">
        <v>333</v>
      </c>
      <c r="C268" t="s">
        <v>383</v>
      </c>
      <c r="D268" t="s">
        <v>273</v>
      </c>
      <c r="E268" t="s">
        <v>318</v>
      </c>
      <c r="F268" t="s">
        <v>199</v>
      </c>
      <c r="G268">
        <v>398</v>
      </c>
      <c r="H268">
        <v>391</v>
      </c>
      <c r="I268">
        <v>155618</v>
      </c>
      <c r="J268">
        <v>107058</v>
      </c>
      <c r="K268">
        <v>48560</v>
      </c>
      <c r="L268">
        <v>140367</v>
      </c>
      <c r="M268">
        <v>15251</v>
      </c>
      <c r="N268" t="s">
        <v>322</v>
      </c>
      <c r="O268" t="s">
        <v>326</v>
      </c>
    </row>
    <row r="269" spans="1:15" ht="15.75" customHeight="1" x14ac:dyDescent="0.2">
      <c r="A269" t="s">
        <v>440</v>
      </c>
      <c r="B269" t="s">
        <v>263</v>
      </c>
      <c r="C269" t="s">
        <v>276</v>
      </c>
      <c r="D269" t="s">
        <v>355</v>
      </c>
      <c r="E269" t="s">
        <v>82</v>
      </c>
      <c r="F269" t="s">
        <v>81</v>
      </c>
      <c r="G269">
        <v>228</v>
      </c>
      <c r="H269">
        <v>1821</v>
      </c>
      <c r="I269">
        <v>415188</v>
      </c>
      <c r="J269">
        <v>243149</v>
      </c>
      <c r="K269">
        <v>172039</v>
      </c>
      <c r="L269">
        <v>414703</v>
      </c>
      <c r="M269">
        <v>485</v>
      </c>
      <c r="N269" t="s">
        <v>319</v>
      </c>
      <c r="O269" t="s">
        <v>189</v>
      </c>
    </row>
    <row r="270" spans="1:15" ht="15.75" customHeight="1" x14ac:dyDescent="0.2">
      <c r="A270" t="s">
        <v>368</v>
      </c>
      <c r="B270" t="s">
        <v>338</v>
      </c>
      <c r="C270" t="s">
        <v>350</v>
      </c>
      <c r="D270" t="s">
        <v>84</v>
      </c>
      <c r="E270" t="s">
        <v>71</v>
      </c>
      <c r="F270" t="s">
        <v>81</v>
      </c>
      <c r="G270">
        <v>433</v>
      </c>
      <c r="H270">
        <v>1894</v>
      </c>
      <c r="I270">
        <v>820102</v>
      </c>
      <c r="J270">
        <v>492021</v>
      </c>
      <c r="K270">
        <v>328081</v>
      </c>
      <c r="L270">
        <v>819891</v>
      </c>
      <c r="M270">
        <v>211</v>
      </c>
      <c r="N270" t="s">
        <v>341</v>
      </c>
      <c r="O270" t="s">
        <v>320</v>
      </c>
    </row>
    <row r="271" spans="1:15" ht="15.75" customHeight="1" x14ac:dyDescent="0.2">
      <c r="A271" t="s">
        <v>454</v>
      </c>
      <c r="B271" t="s">
        <v>271</v>
      </c>
      <c r="C271" t="s">
        <v>272</v>
      </c>
      <c r="D271" t="s">
        <v>360</v>
      </c>
      <c r="E271" t="s">
        <v>325</v>
      </c>
      <c r="F271" t="s">
        <v>70</v>
      </c>
      <c r="G271">
        <v>27</v>
      </c>
      <c r="H271">
        <v>1052</v>
      </c>
      <c r="I271">
        <v>28404</v>
      </c>
      <c r="J271">
        <v>24067</v>
      </c>
      <c r="K271">
        <v>4337</v>
      </c>
      <c r="L271">
        <v>21153</v>
      </c>
      <c r="M271">
        <v>7251</v>
      </c>
      <c r="N271" t="s">
        <v>186</v>
      </c>
      <c r="O271" t="s">
        <v>331</v>
      </c>
    </row>
    <row r="272" spans="1:15" ht="15.75" customHeight="1" x14ac:dyDescent="0.2">
      <c r="A272" t="s">
        <v>163</v>
      </c>
      <c r="B272" t="s">
        <v>328</v>
      </c>
      <c r="C272" t="s">
        <v>329</v>
      </c>
      <c r="D272" t="s">
        <v>95</v>
      </c>
      <c r="E272" t="s">
        <v>325</v>
      </c>
      <c r="F272" t="s">
        <v>81</v>
      </c>
      <c r="G272">
        <v>330</v>
      </c>
      <c r="H272">
        <v>1525</v>
      </c>
      <c r="I272">
        <v>503250</v>
      </c>
      <c r="J272">
        <v>380817</v>
      </c>
      <c r="K272">
        <v>122433</v>
      </c>
      <c r="L272">
        <v>508134</v>
      </c>
      <c r="M272">
        <v>-4884</v>
      </c>
      <c r="N272" t="s">
        <v>341</v>
      </c>
      <c r="O272" t="s">
        <v>326</v>
      </c>
    </row>
    <row r="273" spans="1:15" ht="15.75" customHeight="1" x14ac:dyDescent="0.2">
      <c r="A273" t="s">
        <v>134</v>
      </c>
      <c r="B273" t="s">
        <v>271</v>
      </c>
      <c r="C273" t="s">
        <v>309</v>
      </c>
      <c r="D273" t="s">
        <v>324</v>
      </c>
      <c r="E273" t="s">
        <v>325</v>
      </c>
      <c r="F273" t="s">
        <v>74</v>
      </c>
      <c r="G273">
        <v>203</v>
      </c>
      <c r="H273">
        <v>1410</v>
      </c>
      <c r="I273">
        <v>286230</v>
      </c>
      <c r="J273">
        <v>205797</v>
      </c>
      <c r="K273">
        <v>80433</v>
      </c>
      <c r="L273">
        <v>283851</v>
      </c>
      <c r="M273">
        <v>2379</v>
      </c>
      <c r="N273" t="s">
        <v>319</v>
      </c>
      <c r="O273" t="s">
        <v>331</v>
      </c>
    </row>
    <row r="274" spans="1:15" ht="15.75" customHeight="1" x14ac:dyDescent="0.2">
      <c r="A274" t="s">
        <v>387</v>
      </c>
      <c r="B274" t="s">
        <v>271</v>
      </c>
      <c r="C274" t="s">
        <v>309</v>
      </c>
      <c r="D274" t="s">
        <v>223</v>
      </c>
      <c r="E274" t="s">
        <v>82</v>
      </c>
      <c r="F274" t="s">
        <v>70</v>
      </c>
      <c r="G274">
        <v>395</v>
      </c>
      <c r="H274">
        <v>1663</v>
      </c>
      <c r="I274">
        <v>656885</v>
      </c>
      <c r="J274">
        <v>483184</v>
      </c>
      <c r="K274">
        <v>173701</v>
      </c>
      <c r="L274">
        <v>656754</v>
      </c>
      <c r="M274">
        <v>131</v>
      </c>
      <c r="N274" t="s">
        <v>319</v>
      </c>
      <c r="O274" t="s">
        <v>326</v>
      </c>
    </row>
    <row r="275" spans="1:15" ht="15.75" customHeight="1" x14ac:dyDescent="0.2">
      <c r="A275" t="s">
        <v>442</v>
      </c>
      <c r="B275" t="s">
        <v>328</v>
      </c>
      <c r="C275" t="s">
        <v>329</v>
      </c>
      <c r="D275" t="s">
        <v>391</v>
      </c>
      <c r="E275" t="s">
        <v>82</v>
      </c>
      <c r="F275" t="s">
        <v>92</v>
      </c>
      <c r="G275">
        <v>171</v>
      </c>
      <c r="H275">
        <v>355</v>
      </c>
      <c r="I275">
        <v>60705</v>
      </c>
      <c r="J275">
        <v>44183</v>
      </c>
      <c r="K275">
        <v>16522</v>
      </c>
      <c r="L275">
        <v>65667</v>
      </c>
      <c r="M275">
        <v>-4962</v>
      </c>
      <c r="N275" t="s">
        <v>319</v>
      </c>
      <c r="O275" t="s">
        <v>331</v>
      </c>
    </row>
    <row r="276" spans="1:15" ht="15.75" customHeight="1" x14ac:dyDescent="0.2">
      <c r="A276" t="s">
        <v>431</v>
      </c>
      <c r="B276" t="s">
        <v>333</v>
      </c>
      <c r="C276" t="s">
        <v>370</v>
      </c>
      <c r="D276" t="s">
        <v>355</v>
      </c>
      <c r="E276" t="s">
        <v>82</v>
      </c>
      <c r="F276" t="s">
        <v>199</v>
      </c>
      <c r="G276">
        <v>78</v>
      </c>
      <c r="H276">
        <v>1283</v>
      </c>
      <c r="I276">
        <v>100074</v>
      </c>
      <c r="J276">
        <v>72570</v>
      </c>
      <c r="K276">
        <v>27504</v>
      </c>
      <c r="L276">
        <v>93416</v>
      </c>
      <c r="M276">
        <v>6658</v>
      </c>
      <c r="N276" t="s">
        <v>319</v>
      </c>
      <c r="O276" t="s">
        <v>320</v>
      </c>
    </row>
    <row r="277" spans="1:15" ht="15.75" customHeight="1" x14ac:dyDescent="0.2">
      <c r="A277" t="s">
        <v>150</v>
      </c>
      <c r="B277" t="s">
        <v>271</v>
      </c>
      <c r="C277" t="s">
        <v>272</v>
      </c>
      <c r="D277" t="s">
        <v>336</v>
      </c>
      <c r="E277" t="s">
        <v>325</v>
      </c>
      <c r="F277" t="s">
        <v>87</v>
      </c>
      <c r="G277">
        <v>358</v>
      </c>
      <c r="H277">
        <v>1012</v>
      </c>
      <c r="I277">
        <v>362296</v>
      </c>
      <c r="J277">
        <v>303238</v>
      </c>
      <c r="K277">
        <v>59058</v>
      </c>
      <c r="L277">
        <v>368396</v>
      </c>
      <c r="M277">
        <v>-6100</v>
      </c>
      <c r="N277" t="s">
        <v>322</v>
      </c>
      <c r="O277" t="s">
        <v>331</v>
      </c>
    </row>
    <row r="278" spans="1:15" ht="15.75" customHeight="1" x14ac:dyDescent="0.2">
      <c r="A278" t="s">
        <v>363</v>
      </c>
      <c r="B278" t="s">
        <v>338</v>
      </c>
      <c r="C278" t="s">
        <v>348</v>
      </c>
      <c r="D278" t="s">
        <v>95</v>
      </c>
      <c r="E278" t="s">
        <v>82</v>
      </c>
      <c r="F278" t="s">
        <v>306</v>
      </c>
      <c r="G278">
        <v>345</v>
      </c>
      <c r="H278">
        <v>352</v>
      </c>
      <c r="I278">
        <v>121440</v>
      </c>
      <c r="J278">
        <v>82445</v>
      </c>
      <c r="K278">
        <v>38995</v>
      </c>
      <c r="L278">
        <v>133753</v>
      </c>
      <c r="M278">
        <v>-12313</v>
      </c>
      <c r="N278" t="s">
        <v>319</v>
      </c>
      <c r="O278" t="s">
        <v>320</v>
      </c>
    </row>
    <row r="279" spans="1:15" ht="15.75" customHeight="1" x14ac:dyDescent="0.2">
      <c r="A279" t="s">
        <v>103</v>
      </c>
      <c r="B279" t="s">
        <v>263</v>
      </c>
      <c r="C279" t="s">
        <v>354</v>
      </c>
      <c r="D279" t="s">
        <v>391</v>
      </c>
      <c r="E279" t="s">
        <v>325</v>
      </c>
      <c r="F279" t="s">
        <v>199</v>
      </c>
      <c r="G279">
        <v>229</v>
      </c>
      <c r="H279">
        <v>581</v>
      </c>
      <c r="I279">
        <v>133049</v>
      </c>
      <c r="J279">
        <v>73456</v>
      </c>
      <c r="K279">
        <v>59593</v>
      </c>
      <c r="L279">
        <v>135579</v>
      </c>
      <c r="M279">
        <v>-2530</v>
      </c>
      <c r="N279" t="s">
        <v>186</v>
      </c>
      <c r="O279" t="s">
        <v>331</v>
      </c>
    </row>
    <row r="280" spans="1:15" ht="15.75" customHeight="1" x14ac:dyDescent="0.2">
      <c r="A280" t="s">
        <v>161</v>
      </c>
      <c r="B280" t="s">
        <v>328</v>
      </c>
      <c r="C280" t="s">
        <v>329</v>
      </c>
      <c r="D280" t="s">
        <v>335</v>
      </c>
      <c r="E280" t="s">
        <v>71</v>
      </c>
      <c r="F280" t="s">
        <v>356</v>
      </c>
      <c r="G280">
        <v>420</v>
      </c>
      <c r="H280">
        <v>1194</v>
      </c>
      <c r="I280">
        <v>501480</v>
      </c>
      <c r="J280">
        <v>311051</v>
      </c>
      <c r="K280">
        <v>190429</v>
      </c>
      <c r="L280">
        <v>497214</v>
      </c>
      <c r="M280">
        <v>4266</v>
      </c>
      <c r="N280" t="s">
        <v>341</v>
      </c>
      <c r="O280" t="s">
        <v>331</v>
      </c>
    </row>
    <row r="281" spans="1:15" ht="15.75" customHeight="1" x14ac:dyDescent="0.2">
      <c r="A281" t="s">
        <v>455</v>
      </c>
      <c r="B281" t="s">
        <v>333</v>
      </c>
      <c r="C281" t="s">
        <v>383</v>
      </c>
      <c r="D281" t="s">
        <v>336</v>
      </c>
      <c r="E281" t="s">
        <v>318</v>
      </c>
      <c r="F281" t="s">
        <v>92</v>
      </c>
      <c r="G281">
        <v>377</v>
      </c>
      <c r="H281">
        <v>1393</v>
      </c>
      <c r="I281">
        <v>525161</v>
      </c>
      <c r="J281">
        <v>394331</v>
      </c>
      <c r="K281">
        <v>130830</v>
      </c>
      <c r="L281">
        <v>531476</v>
      </c>
      <c r="M281">
        <v>-6315</v>
      </c>
      <c r="N281" t="s">
        <v>319</v>
      </c>
      <c r="O281" t="s">
        <v>331</v>
      </c>
    </row>
    <row r="282" spans="1:15" ht="15.75" customHeight="1" x14ac:dyDescent="0.2">
      <c r="A282" t="s">
        <v>221</v>
      </c>
      <c r="B282" t="s">
        <v>263</v>
      </c>
      <c r="C282" t="s">
        <v>347</v>
      </c>
      <c r="D282" t="s">
        <v>391</v>
      </c>
      <c r="E282" t="s">
        <v>318</v>
      </c>
      <c r="F282" t="s">
        <v>70</v>
      </c>
      <c r="G282">
        <v>144</v>
      </c>
      <c r="H282">
        <v>695</v>
      </c>
      <c r="I282">
        <v>100080</v>
      </c>
      <c r="J282">
        <v>55078</v>
      </c>
      <c r="K282">
        <v>45002</v>
      </c>
      <c r="L282">
        <v>84857</v>
      </c>
      <c r="M282">
        <v>15223</v>
      </c>
      <c r="N282" t="s">
        <v>319</v>
      </c>
      <c r="O282" t="s">
        <v>326</v>
      </c>
    </row>
    <row r="283" spans="1:15" ht="15.75" customHeight="1" x14ac:dyDescent="0.2">
      <c r="A283" t="s">
        <v>372</v>
      </c>
      <c r="B283" t="s">
        <v>333</v>
      </c>
      <c r="C283" t="s">
        <v>343</v>
      </c>
      <c r="D283" t="s">
        <v>223</v>
      </c>
      <c r="E283" t="s">
        <v>71</v>
      </c>
      <c r="F283" t="s">
        <v>356</v>
      </c>
      <c r="G283">
        <v>113</v>
      </c>
      <c r="H283">
        <v>383</v>
      </c>
      <c r="I283">
        <v>43279</v>
      </c>
      <c r="J283">
        <v>35443</v>
      </c>
      <c r="K283">
        <v>7836</v>
      </c>
      <c r="L283">
        <v>60027</v>
      </c>
      <c r="M283">
        <v>-16748</v>
      </c>
      <c r="N283" t="s">
        <v>322</v>
      </c>
      <c r="O283" t="s">
        <v>189</v>
      </c>
    </row>
    <row r="284" spans="1:15" ht="15.75" customHeight="1" x14ac:dyDescent="0.2">
      <c r="A284" t="s">
        <v>369</v>
      </c>
      <c r="B284" t="s">
        <v>263</v>
      </c>
      <c r="C284" t="s">
        <v>354</v>
      </c>
      <c r="D284" t="s">
        <v>391</v>
      </c>
      <c r="E284" t="s">
        <v>71</v>
      </c>
      <c r="F284" t="s">
        <v>81</v>
      </c>
      <c r="G284">
        <v>147</v>
      </c>
      <c r="H284">
        <v>480</v>
      </c>
      <c r="I284">
        <v>70560</v>
      </c>
      <c r="J284">
        <v>54147</v>
      </c>
      <c r="K284">
        <v>16413</v>
      </c>
      <c r="L284">
        <v>59316</v>
      </c>
      <c r="M284">
        <v>11244</v>
      </c>
      <c r="N284" t="s">
        <v>341</v>
      </c>
      <c r="O284" t="s">
        <v>326</v>
      </c>
    </row>
    <row r="285" spans="1:15" ht="15.75" customHeight="1" x14ac:dyDescent="0.2">
      <c r="A285" t="s">
        <v>169</v>
      </c>
      <c r="B285" t="s">
        <v>263</v>
      </c>
      <c r="C285" t="s">
        <v>276</v>
      </c>
      <c r="D285" t="s">
        <v>84</v>
      </c>
      <c r="E285" t="s">
        <v>71</v>
      </c>
      <c r="F285" t="s">
        <v>92</v>
      </c>
      <c r="G285">
        <v>297</v>
      </c>
      <c r="H285">
        <v>525</v>
      </c>
      <c r="I285">
        <v>155925</v>
      </c>
      <c r="J285">
        <v>120180</v>
      </c>
      <c r="K285">
        <v>35745</v>
      </c>
      <c r="L285">
        <v>142008</v>
      </c>
      <c r="M285">
        <v>13917</v>
      </c>
      <c r="N285" t="s">
        <v>341</v>
      </c>
      <c r="O285" t="s">
        <v>189</v>
      </c>
    </row>
    <row r="286" spans="1:15" ht="15.75" customHeight="1" x14ac:dyDescent="0.2">
      <c r="A286" t="s">
        <v>431</v>
      </c>
      <c r="B286" t="s">
        <v>271</v>
      </c>
      <c r="C286" t="s">
        <v>309</v>
      </c>
      <c r="D286" t="s">
        <v>340</v>
      </c>
      <c r="E286" t="s">
        <v>82</v>
      </c>
      <c r="F286" t="s">
        <v>306</v>
      </c>
      <c r="G286">
        <v>203</v>
      </c>
      <c r="H286">
        <v>952</v>
      </c>
      <c r="I286">
        <v>193256</v>
      </c>
      <c r="J286">
        <v>130407</v>
      </c>
      <c r="K286">
        <v>62849</v>
      </c>
      <c r="L286">
        <v>187618</v>
      </c>
      <c r="M286">
        <v>5638</v>
      </c>
      <c r="N286" t="s">
        <v>319</v>
      </c>
      <c r="O286" t="s">
        <v>189</v>
      </c>
    </row>
    <row r="287" spans="1:15" ht="15.75" customHeight="1" x14ac:dyDescent="0.2">
      <c r="A287" t="s">
        <v>456</v>
      </c>
      <c r="B287" t="s">
        <v>338</v>
      </c>
      <c r="C287" t="s">
        <v>350</v>
      </c>
      <c r="D287" t="s">
        <v>324</v>
      </c>
      <c r="E287" t="s">
        <v>318</v>
      </c>
      <c r="F287" t="s">
        <v>356</v>
      </c>
      <c r="G287">
        <v>211</v>
      </c>
      <c r="H287">
        <v>704</v>
      </c>
      <c r="I287">
        <v>148544</v>
      </c>
      <c r="J287">
        <v>88001</v>
      </c>
      <c r="K287">
        <v>60543</v>
      </c>
      <c r="L287">
        <v>148334</v>
      </c>
      <c r="M287">
        <v>210</v>
      </c>
      <c r="N287" t="s">
        <v>319</v>
      </c>
      <c r="O287" t="s">
        <v>331</v>
      </c>
    </row>
    <row r="288" spans="1:15" ht="15.75" customHeight="1" x14ac:dyDescent="0.2">
      <c r="A288" t="s">
        <v>416</v>
      </c>
      <c r="B288" t="s">
        <v>333</v>
      </c>
      <c r="C288" t="s">
        <v>383</v>
      </c>
      <c r="D288" t="s">
        <v>84</v>
      </c>
      <c r="E288" t="s">
        <v>325</v>
      </c>
      <c r="F288" t="s">
        <v>81</v>
      </c>
      <c r="G288">
        <v>491</v>
      </c>
      <c r="H288">
        <v>388</v>
      </c>
      <c r="I288">
        <v>190508</v>
      </c>
      <c r="J288">
        <v>107245</v>
      </c>
      <c r="K288">
        <v>83263</v>
      </c>
      <c r="L288">
        <v>177888</v>
      </c>
      <c r="M288">
        <v>12620</v>
      </c>
      <c r="N288" t="s">
        <v>322</v>
      </c>
      <c r="O288" t="s">
        <v>189</v>
      </c>
    </row>
    <row r="289" spans="1:15" ht="15.75" customHeight="1" x14ac:dyDescent="0.2">
      <c r="A289" t="s">
        <v>251</v>
      </c>
      <c r="B289" t="s">
        <v>271</v>
      </c>
      <c r="C289" t="s">
        <v>272</v>
      </c>
      <c r="D289" t="s">
        <v>307</v>
      </c>
      <c r="E289" t="s">
        <v>318</v>
      </c>
      <c r="F289" t="s">
        <v>356</v>
      </c>
      <c r="G289">
        <v>421</v>
      </c>
      <c r="H289">
        <v>1971</v>
      </c>
      <c r="I289">
        <v>829791</v>
      </c>
      <c r="J289">
        <v>589899</v>
      </c>
      <c r="K289">
        <v>239892</v>
      </c>
      <c r="L289">
        <v>818924</v>
      </c>
      <c r="M289">
        <v>10867</v>
      </c>
      <c r="N289" t="s">
        <v>186</v>
      </c>
      <c r="O289" t="s">
        <v>331</v>
      </c>
    </row>
    <row r="290" spans="1:15" ht="15.75" customHeight="1" x14ac:dyDescent="0.2">
      <c r="A290" t="s">
        <v>286</v>
      </c>
      <c r="B290" t="s">
        <v>338</v>
      </c>
      <c r="C290" t="s">
        <v>339</v>
      </c>
      <c r="D290" t="s">
        <v>355</v>
      </c>
      <c r="E290" t="s">
        <v>71</v>
      </c>
      <c r="F290" t="s">
        <v>74</v>
      </c>
      <c r="G290">
        <v>122</v>
      </c>
      <c r="H290">
        <v>1038</v>
      </c>
      <c r="I290">
        <v>126636</v>
      </c>
      <c r="J290">
        <v>105649</v>
      </c>
      <c r="K290">
        <v>20987</v>
      </c>
      <c r="L290">
        <v>109863</v>
      </c>
      <c r="M290">
        <v>16773</v>
      </c>
      <c r="N290" t="s">
        <v>322</v>
      </c>
      <c r="O290" t="s">
        <v>331</v>
      </c>
    </row>
    <row r="291" spans="1:15" ht="15.75" customHeight="1" x14ac:dyDescent="0.2">
      <c r="A291" t="s">
        <v>237</v>
      </c>
      <c r="B291" t="s">
        <v>328</v>
      </c>
      <c r="C291" t="s">
        <v>359</v>
      </c>
      <c r="D291" t="s">
        <v>335</v>
      </c>
      <c r="E291" t="s">
        <v>82</v>
      </c>
      <c r="F291" t="s">
        <v>87</v>
      </c>
      <c r="G291">
        <v>382</v>
      </c>
      <c r="H291">
        <v>510</v>
      </c>
      <c r="I291">
        <v>194820</v>
      </c>
      <c r="J291">
        <v>129911</v>
      </c>
      <c r="K291">
        <v>64909</v>
      </c>
      <c r="L291">
        <v>187955</v>
      </c>
      <c r="M291">
        <v>6865</v>
      </c>
      <c r="N291" t="s">
        <v>322</v>
      </c>
      <c r="O291" t="s">
        <v>189</v>
      </c>
    </row>
    <row r="292" spans="1:15" ht="15.75" customHeight="1" x14ac:dyDescent="0.2">
      <c r="A292" t="s">
        <v>244</v>
      </c>
      <c r="B292" t="s">
        <v>271</v>
      </c>
      <c r="C292" t="s">
        <v>309</v>
      </c>
      <c r="D292" t="s">
        <v>346</v>
      </c>
      <c r="E292" t="s">
        <v>325</v>
      </c>
      <c r="F292" t="s">
        <v>74</v>
      </c>
      <c r="G292">
        <v>393</v>
      </c>
      <c r="H292">
        <v>839</v>
      </c>
      <c r="I292">
        <v>329727</v>
      </c>
      <c r="J292">
        <v>200729</v>
      </c>
      <c r="K292">
        <v>128998</v>
      </c>
      <c r="L292">
        <v>326861</v>
      </c>
      <c r="M292">
        <v>2866</v>
      </c>
      <c r="N292" t="s">
        <v>186</v>
      </c>
      <c r="O292" t="s">
        <v>331</v>
      </c>
    </row>
    <row r="293" spans="1:15" ht="15.75" customHeight="1" x14ac:dyDescent="0.2">
      <c r="A293" t="s">
        <v>457</v>
      </c>
      <c r="B293" t="s">
        <v>338</v>
      </c>
      <c r="C293" t="s">
        <v>339</v>
      </c>
      <c r="D293" t="s">
        <v>69</v>
      </c>
      <c r="E293" t="s">
        <v>71</v>
      </c>
      <c r="F293" t="s">
        <v>81</v>
      </c>
      <c r="G293">
        <v>491</v>
      </c>
      <c r="H293">
        <v>351</v>
      </c>
      <c r="I293">
        <v>172341</v>
      </c>
      <c r="J293">
        <v>86700</v>
      </c>
      <c r="K293">
        <v>85641</v>
      </c>
      <c r="L293">
        <v>161137</v>
      </c>
      <c r="M293">
        <v>11204</v>
      </c>
      <c r="N293" t="s">
        <v>186</v>
      </c>
      <c r="O293" t="s">
        <v>320</v>
      </c>
    </row>
    <row r="294" spans="1:15" ht="15.75" customHeight="1" x14ac:dyDescent="0.2">
      <c r="A294" t="s">
        <v>344</v>
      </c>
      <c r="B294" t="s">
        <v>328</v>
      </c>
      <c r="C294" t="s">
        <v>283</v>
      </c>
      <c r="D294" t="s">
        <v>69</v>
      </c>
      <c r="E294" t="s">
        <v>325</v>
      </c>
      <c r="F294" t="s">
        <v>356</v>
      </c>
      <c r="G294">
        <v>484</v>
      </c>
      <c r="H294">
        <v>616</v>
      </c>
      <c r="I294">
        <v>298144</v>
      </c>
      <c r="J294">
        <v>215704</v>
      </c>
      <c r="K294">
        <v>82440</v>
      </c>
      <c r="L294">
        <v>280666</v>
      </c>
      <c r="M294">
        <v>17478</v>
      </c>
      <c r="N294" t="s">
        <v>319</v>
      </c>
      <c r="O294" t="s">
        <v>320</v>
      </c>
    </row>
    <row r="295" spans="1:15" ht="15.75" customHeight="1" x14ac:dyDescent="0.2">
      <c r="A295" t="s">
        <v>386</v>
      </c>
      <c r="B295" t="s">
        <v>271</v>
      </c>
      <c r="C295" t="s">
        <v>309</v>
      </c>
      <c r="D295" t="s">
        <v>340</v>
      </c>
      <c r="E295" t="s">
        <v>325</v>
      </c>
      <c r="F295" t="s">
        <v>306</v>
      </c>
      <c r="G295">
        <v>318</v>
      </c>
      <c r="H295">
        <v>1271</v>
      </c>
      <c r="I295">
        <v>404178</v>
      </c>
      <c r="J295">
        <v>255158</v>
      </c>
      <c r="K295">
        <v>149020</v>
      </c>
      <c r="L295">
        <v>391128</v>
      </c>
      <c r="M295">
        <v>13050</v>
      </c>
      <c r="N295" t="s">
        <v>341</v>
      </c>
      <c r="O295" t="s">
        <v>320</v>
      </c>
    </row>
    <row r="296" spans="1:15" ht="15.75" customHeight="1" x14ac:dyDescent="0.2">
      <c r="A296" t="s">
        <v>458</v>
      </c>
      <c r="B296" t="s">
        <v>338</v>
      </c>
      <c r="C296" t="s">
        <v>348</v>
      </c>
      <c r="D296" t="s">
        <v>371</v>
      </c>
      <c r="E296" t="s">
        <v>82</v>
      </c>
      <c r="F296" t="s">
        <v>81</v>
      </c>
      <c r="G296">
        <v>179</v>
      </c>
      <c r="H296">
        <v>1650</v>
      </c>
      <c r="I296">
        <v>295350</v>
      </c>
      <c r="J296">
        <v>242463</v>
      </c>
      <c r="K296">
        <v>52887</v>
      </c>
      <c r="L296">
        <v>290706</v>
      </c>
      <c r="M296">
        <v>4644</v>
      </c>
      <c r="N296" t="s">
        <v>319</v>
      </c>
      <c r="O296" t="s">
        <v>326</v>
      </c>
    </row>
    <row r="297" spans="1:15" ht="15.75" customHeight="1" x14ac:dyDescent="0.2">
      <c r="A297" t="s">
        <v>394</v>
      </c>
      <c r="B297" t="s">
        <v>328</v>
      </c>
      <c r="C297" t="s">
        <v>359</v>
      </c>
      <c r="D297" t="s">
        <v>355</v>
      </c>
      <c r="E297" t="s">
        <v>325</v>
      </c>
      <c r="F297" t="s">
        <v>70</v>
      </c>
      <c r="G297">
        <v>339</v>
      </c>
      <c r="H297">
        <v>528</v>
      </c>
      <c r="I297">
        <v>178992</v>
      </c>
      <c r="J297">
        <v>129536</v>
      </c>
      <c r="K297">
        <v>49456</v>
      </c>
      <c r="L297">
        <v>180644</v>
      </c>
      <c r="M297">
        <v>-1652</v>
      </c>
      <c r="N297" t="s">
        <v>341</v>
      </c>
      <c r="O297" t="s">
        <v>326</v>
      </c>
    </row>
    <row r="298" spans="1:15" ht="15.75" customHeight="1" x14ac:dyDescent="0.2">
      <c r="A298" t="s">
        <v>459</v>
      </c>
      <c r="B298" t="s">
        <v>271</v>
      </c>
      <c r="C298" t="s">
        <v>309</v>
      </c>
      <c r="D298" t="s">
        <v>371</v>
      </c>
      <c r="E298" t="s">
        <v>318</v>
      </c>
      <c r="F298" t="s">
        <v>199</v>
      </c>
      <c r="G298">
        <v>390</v>
      </c>
      <c r="H298">
        <v>463</v>
      </c>
      <c r="I298">
        <v>180570</v>
      </c>
      <c r="J298">
        <v>147812</v>
      </c>
      <c r="K298">
        <v>32758</v>
      </c>
      <c r="L298">
        <v>190269</v>
      </c>
      <c r="M298">
        <v>-9699</v>
      </c>
      <c r="N298" t="s">
        <v>186</v>
      </c>
      <c r="O298" t="s">
        <v>331</v>
      </c>
    </row>
    <row r="299" spans="1:15" ht="15.75" customHeight="1" x14ac:dyDescent="0.2">
      <c r="A299" t="s">
        <v>251</v>
      </c>
      <c r="B299" t="s">
        <v>338</v>
      </c>
      <c r="C299" t="s">
        <v>348</v>
      </c>
      <c r="D299" t="s">
        <v>307</v>
      </c>
      <c r="E299" t="s">
        <v>82</v>
      </c>
      <c r="F299" t="s">
        <v>92</v>
      </c>
      <c r="G299">
        <v>65</v>
      </c>
      <c r="H299">
        <v>1137</v>
      </c>
      <c r="I299">
        <v>73905</v>
      </c>
      <c r="J299">
        <v>52539</v>
      </c>
      <c r="K299">
        <v>21366</v>
      </c>
      <c r="L299">
        <v>60063</v>
      </c>
      <c r="M299">
        <v>13842</v>
      </c>
      <c r="N299" t="s">
        <v>186</v>
      </c>
      <c r="O299" t="s">
        <v>189</v>
      </c>
    </row>
    <row r="300" spans="1:15" ht="15.75" customHeight="1" x14ac:dyDescent="0.2">
      <c r="A300" t="s">
        <v>460</v>
      </c>
      <c r="B300" t="s">
        <v>338</v>
      </c>
      <c r="C300" t="s">
        <v>350</v>
      </c>
      <c r="D300" t="s">
        <v>335</v>
      </c>
      <c r="E300" t="s">
        <v>325</v>
      </c>
      <c r="F300" t="s">
        <v>356</v>
      </c>
      <c r="G300">
        <v>365</v>
      </c>
      <c r="H300">
        <v>1731</v>
      </c>
      <c r="I300">
        <v>631815</v>
      </c>
      <c r="J300">
        <v>480279</v>
      </c>
      <c r="K300">
        <v>151536</v>
      </c>
      <c r="L300">
        <v>636680</v>
      </c>
      <c r="M300">
        <v>-4865</v>
      </c>
      <c r="N300" t="s">
        <v>186</v>
      </c>
      <c r="O300" t="s">
        <v>331</v>
      </c>
    </row>
    <row r="301" spans="1:15" ht="15.75" customHeight="1" x14ac:dyDescent="0.2">
      <c r="A301" t="s">
        <v>457</v>
      </c>
      <c r="B301" t="s">
        <v>328</v>
      </c>
      <c r="C301" t="s">
        <v>329</v>
      </c>
      <c r="D301" t="s">
        <v>84</v>
      </c>
      <c r="E301" t="s">
        <v>325</v>
      </c>
      <c r="F301" t="s">
        <v>81</v>
      </c>
      <c r="G301">
        <v>350</v>
      </c>
      <c r="H301">
        <v>1455</v>
      </c>
      <c r="I301">
        <v>509250</v>
      </c>
      <c r="J301">
        <v>327334</v>
      </c>
      <c r="K301">
        <v>181916</v>
      </c>
      <c r="L301">
        <v>526765</v>
      </c>
      <c r="M301">
        <v>-17515</v>
      </c>
      <c r="N301" t="s">
        <v>341</v>
      </c>
      <c r="O301" t="s">
        <v>189</v>
      </c>
    </row>
    <row r="302" spans="1:15" ht="15.75" customHeight="1" x14ac:dyDescent="0.2">
      <c r="A302" t="s">
        <v>461</v>
      </c>
      <c r="B302" t="s">
        <v>271</v>
      </c>
      <c r="C302" t="s">
        <v>272</v>
      </c>
      <c r="D302" t="s">
        <v>307</v>
      </c>
      <c r="E302" t="s">
        <v>318</v>
      </c>
      <c r="F302" t="s">
        <v>70</v>
      </c>
      <c r="G302">
        <v>177</v>
      </c>
      <c r="H302">
        <v>1293</v>
      </c>
      <c r="I302">
        <v>228861</v>
      </c>
      <c r="J302">
        <v>127920</v>
      </c>
      <c r="K302">
        <v>100941</v>
      </c>
      <c r="L302">
        <v>215961</v>
      </c>
      <c r="M302">
        <v>12900</v>
      </c>
      <c r="N302" t="s">
        <v>341</v>
      </c>
      <c r="O302" t="s">
        <v>320</v>
      </c>
    </row>
    <row r="303" spans="1:15" ht="15.75" customHeight="1" x14ac:dyDescent="0.2">
      <c r="A303" t="s">
        <v>149</v>
      </c>
      <c r="B303" t="s">
        <v>333</v>
      </c>
      <c r="C303" t="s">
        <v>383</v>
      </c>
      <c r="D303" t="s">
        <v>307</v>
      </c>
      <c r="E303" t="s">
        <v>325</v>
      </c>
      <c r="F303" t="s">
        <v>70</v>
      </c>
      <c r="G303">
        <v>303</v>
      </c>
      <c r="H303">
        <v>659</v>
      </c>
      <c r="I303">
        <v>199677</v>
      </c>
      <c r="J303">
        <v>129566</v>
      </c>
      <c r="K303">
        <v>70111</v>
      </c>
      <c r="L303">
        <v>201236</v>
      </c>
      <c r="M303">
        <v>-1559</v>
      </c>
      <c r="N303" t="s">
        <v>341</v>
      </c>
      <c r="O303" t="s">
        <v>189</v>
      </c>
    </row>
    <row r="304" spans="1:15" ht="15.75" customHeight="1" x14ac:dyDescent="0.2">
      <c r="A304" t="s">
        <v>462</v>
      </c>
      <c r="B304" t="s">
        <v>328</v>
      </c>
      <c r="C304" t="s">
        <v>329</v>
      </c>
      <c r="D304" t="s">
        <v>308</v>
      </c>
      <c r="E304" t="s">
        <v>325</v>
      </c>
      <c r="F304" t="s">
        <v>74</v>
      </c>
      <c r="G304">
        <v>268</v>
      </c>
      <c r="H304">
        <v>1084</v>
      </c>
      <c r="I304">
        <v>290512</v>
      </c>
      <c r="J304">
        <v>151578</v>
      </c>
      <c r="K304">
        <v>138934</v>
      </c>
      <c r="L304">
        <v>300423</v>
      </c>
      <c r="M304">
        <v>-9911</v>
      </c>
      <c r="N304" t="s">
        <v>341</v>
      </c>
      <c r="O304" t="s">
        <v>189</v>
      </c>
    </row>
    <row r="305" spans="1:15" ht="15.75" customHeight="1" x14ac:dyDescent="0.2">
      <c r="A305" t="s">
        <v>463</v>
      </c>
      <c r="B305" t="s">
        <v>328</v>
      </c>
      <c r="C305" t="s">
        <v>359</v>
      </c>
      <c r="D305" t="s">
        <v>346</v>
      </c>
      <c r="E305" t="s">
        <v>325</v>
      </c>
      <c r="F305" t="s">
        <v>74</v>
      </c>
      <c r="G305">
        <v>415</v>
      </c>
      <c r="H305">
        <v>1003</v>
      </c>
      <c r="I305">
        <v>416245</v>
      </c>
      <c r="J305">
        <v>272293</v>
      </c>
      <c r="K305">
        <v>143952</v>
      </c>
      <c r="L305">
        <v>398901</v>
      </c>
      <c r="M305">
        <v>17344</v>
      </c>
      <c r="N305" t="s">
        <v>186</v>
      </c>
      <c r="O305" t="s">
        <v>331</v>
      </c>
    </row>
    <row r="306" spans="1:15" ht="15.75" customHeight="1" x14ac:dyDescent="0.2">
      <c r="A306" t="s">
        <v>156</v>
      </c>
      <c r="B306" t="s">
        <v>333</v>
      </c>
      <c r="C306" t="s">
        <v>311</v>
      </c>
      <c r="D306" t="s">
        <v>84</v>
      </c>
      <c r="E306" t="s">
        <v>82</v>
      </c>
      <c r="F306" t="s">
        <v>306</v>
      </c>
      <c r="G306">
        <v>332</v>
      </c>
      <c r="H306">
        <v>1502</v>
      </c>
      <c r="I306">
        <v>498664</v>
      </c>
      <c r="J306">
        <v>328678</v>
      </c>
      <c r="K306">
        <v>169986</v>
      </c>
      <c r="L306">
        <v>504296</v>
      </c>
      <c r="M306">
        <v>-5632</v>
      </c>
      <c r="N306" t="s">
        <v>186</v>
      </c>
      <c r="O306" t="s">
        <v>326</v>
      </c>
    </row>
    <row r="307" spans="1:15" ht="15.75" customHeight="1" x14ac:dyDescent="0.2">
      <c r="A307" t="s">
        <v>323</v>
      </c>
      <c r="B307" t="s">
        <v>263</v>
      </c>
      <c r="C307" t="s">
        <v>280</v>
      </c>
      <c r="D307" t="s">
        <v>324</v>
      </c>
      <c r="E307" t="s">
        <v>71</v>
      </c>
      <c r="F307" t="s">
        <v>87</v>
      </c>
      <c r="G307">
        <v>385</v>
      </c>
      <c r="H307">
        <v>509</v>
      </c>
      <c r="I307">
        <v>195965</v>
      </c>
      <c r="J307">
        <v>121720</v>
      </c>
      <c r="K307">
        <v>74245</v>
      </c>
      <c r="L307">
        <v>183355</v>
      </c>
      <c r="M307">
        <v>12610</v>
      </c>
      <c r="N307" t="s">
        <v>186</v>
      </c>
      <c r="O307" t="s">
        <v>320</v>
      </c>
    </row>
    <row r="308" spans="1:15" ht="15.75" customHeight="1" x14ac:dyDescent="0.2">
      <c r="A308" t="s">
        <v>459</v>
      </c>
      <c r="B308" t="s">
        <v>338</v>
      </c>
      <c r="C308" t="s">
        <v>339</v>
      </c>
      <c r="D308" t="s">
        <v>317</v>
      </c>
      <c r="E308" t="s">
        <v>325</v>
      </c>
      <c r="F308" t="s">
        <v>356</v>
      </c>
      <c r="G308">
        <v>251</v>
      </c>
      <c r="H308">
        <v>1161</v>
      </c>
      <c r="I308">
        <v>291411</v>
      </c>
      <c r="J308">
        <v>205984</v>
      </c>
      <c r="K308">
        <v>85427</v>
      </c>
      <c r="L308">
        <v>307860</v>
      </c>
      <c r="M308">
        <v>-16449</v>
      </c>
      <c r="N308" t="s">
        <v>322</v>
      </c>
      <c r="O308" t="s">
        <v>320</v>
      </c>
    </row>
    <row r="309" spans="1:15" ht="15.75" customHeight="1" x14ac:dyDescent="0.2">
      <c r="A309" t="s">
        <v>464</v>
      </c>
      <c r="B309" t="s">
        <v>263</v>
      </c>
      <c r="C309" t="s">
        <v>347</v>
      </c>
      <c r="D309" t="s">
        <v>223</v>
      </c>
      <c r="E309" t="s">
        <v>82</v>
      </c>
      <c r="F309" t="s">
        <v>92</v>
      </c>
      <c r="G309">
        <v>10</v>
      </c>
      <c r="H309">
        <v>1555</v>
      </c>
      <c r="I309">
        <v>15550</v>
      </c>
      <c r="J309">
        <v>9986</v>
      </c>
      <c r="K309">
        <v>5564</v>
      </c>
      <c r="L309">
        <v>6954</v>
      </c>
      <c r="M309">
        <v>8596</v>
      </c>
      <c r="N309" t="s">
        <v>186</v>
      </c>
      <c r="O309" t="s">
        <v>326</v>
      </c>
    </row>
    <row r="310" spans="1:15" ht="15.75" customHeight="1" x14ac:dyDescent="0.2">
      <c r="A310" t="s">
        <v>235</v>
      </c>
      <c r="B310" t="s">
        <v>333</v>
      </c>
      <c r="C310" t="s">
        <v>383</v>
      </c>
      <c r="D310" t="s">
        <v>336</v>
      </c>
      <c r="E310" t="s">
        <v>71</v>
      </c>
      <c r="F310" t="s">
        <v>199</v>
      </c>
      <c r="G310">
        <v>176</v>
      </c>
      <c r="H310">
        <v>1291</v>
      </c>
      <c r="I310">
        <v>227216</v>
      </c>
      <c r="J310">
        <v>150047</v>
      </c>
      <c r="K310">
        <v>77169</v>
      </c>
      <c r="L310">
        <v>240684</v>
      </c>
      <c r="M310">
        <v>-13468</v>
      </c>
      <c r="N310" t="s">
        <v>186</v>
      </c>
      <c r="O310" t="s">
        <v>331</v>
      </c>
    </row>
    <row r="311" spans="1:15" ht="15.75" customHeight="1" x14ac:dyDescent="0.2">
      <c r="A311" t="s">
        <v>434</v>
      </c>
      <c r="B311" t="s">
        <v>328</v>
      </c>
      <c r="C311" t="s">
        <v>359</v>
      </c>
      <c r="D311" t="s">
        <v>69</v>
      </c>
      <c r="E311" t="s">
        <v>325</v>
      </c>
      <c r="F311" t="s">
        <v>199</v>
      </c>
      <c r="G311">
        <v>142</v>
      </c>
      <c r="H311">
        <v>954</v>
      </c>
      <c r="I311">
        <v>135468</v>
      </c>
      <c r="J311">
        <v>111020</v>
      </c>
      <c r="K311">
        <v>24448</v>
      </c>
      <c r="L311">
        <v>137282</v>
      </c>
      <c r="M311">
        <v>-1814</v>
      </c>
      <c r="N311" t="s">
        <v>186</v>
      </c>
      <c r="O311" t="s">
        <v>189</v>
      </c>
    </row>
    <row r="312" spans="1:15" ht="15.75" customHeight="1" x14ac:dyDescent="0.2">
      <c r="A312" t="s">
        <v>465</v>
      </c>
      <c r="B312" t="s">
        <v>328</v>
      </c>
      <c r="C312" t="s">
        <v>359</v>
      </c>
      <c r="D312" t="s">
        <v>69</v>
      </c>
      <c r="E312" t="s">
        <v>318</v>
      </c>
      <c r="F312" t="s">
        <v>199</v>
      </c>
      <c r="G312">
        <v>389</v>
      </c>
      <c r="H312">
        <v>780</v>
      </c>
      <c r="I312">
        <v>303420</v>
      </c>
      <c r="J312">
        <v>251862</v>
      </c>
      <c r="K312">
        <v>51558</v>
      </c>
      <c r="L312">
        <v>307427</v>
      </c>
      <c r="M312">
        <v>-4007</v>
      </c>
      <c r="N312" t="s">
        <v>319</v>
      </c>
      <c r="O312" t="s">
        <v>331</v>
      </c>
    </row>
    <row r="313" spans="1:15" ht="15.75" customHeight="1" x14ac:dyDescent="0.2">
      <c r="A313" t="s">
        <v>72</v>
      </c>
      <c r="B313" t="s">
        <v>263</v>
      </c>
      <c r="C313" t="s">
        <v>276</v>
      </c>
      <c r="D313" t="s">
        <v>336</v>
      </c>
      <c r="E313" t="s">
        <v>325</v>
      </c>
      <c r="F313" t="s">
        <v>356</v>
      </c>
      <c r="G313">
        <v>67</v>
      </c>
      <c r="H313">
        <v>1067</v>
      </c>
      <c r="I313">
        <v>71489</v>
      </c>
      <c r="J313">
        <v>58362</v>
      </c>
      <c r="K313">
        <v>13127</v>
      </c>
      <c r="L313">
        <v>75830</v>
      </c>
      <c r="M313">
        <v>-4341</v>
      </c>
      <c r="N313" t="s">
        <v>322</v>
      </c>
      <c r="O313" t="s">
        <v>326</v>
      </c>
    </row>
    <row r="314" spans="1:15" ht="15.75" customHeight="1" x14ac:dyDescent="0.2">
      <c r="A314" t="s">
        <v>344</v>
      </c>
      <c r="B314" t="s">
        <v>333</v>
      </c>
      <c r="C314" t="s">
        <v>265</v>
      </c>
      <c r="D314" t="s">
        <v>77</v>
      </c>
      <c r="E314" t="s">
        <v>325</v>
      </c>
      <c r="F314" t="s">
        <v>74</v>
      </c>
      <c r="G314">
        <v>263</v>
      </c>
      <c r="H314">
        <v>719</v>
      </c>
      <c r="I314">
        <v>189097</v>
      </c>
      <c r="J314">
        <v>102251</v>
      </c>
      <c r="K314">
        <v>86846</v>
      </c>
      <c r="L314">
        <v>171324</v>
      </c>
      <c r="M314">
        <v>17773</v>
      </c>
      <c r="N314" t="s">
        <v>341</v>
      </c>
      <c r="O314" t="s">
        <v>331</v>
      </c>
    </row>
    <row r="315" spans="1:15" ht="15.75" customHeight="1" x14ac:dyDescent="0.2">
      <c r="A315" t="s">
        <v>466</v>
      </c>
      <c r="B315" t="s">
        <v>333</v>
      </c>
      <c r="C315" t="s">
        <v>370</v>
      </c>
      <c r="D315" t="s">
        <v>317</v>
      </c>
      <c r="E315" t="s">
        <v>71</v>
      </c>
      <c r="F315" t="s">
        <v>356</v>
      </c>
      <c r="G315">
        <v>386</v>
      </c>
      <c r="H315">
        <v>483</v>
      </c>
      <c r="I315">
        <v>186438</v>
      </c>
      <c r="J315">
        <v>126767</v>
      </c>
      <c r="K315">
        <v>59671</v>
      </c>
      <c r="L315">
        <v>195177</v>
      </c>
      <c r="M315">
        <v>-8739</v>
      </c>
      <c r="N315" t="s">
        <v>341</v>
      </c>
      <c r="O315" t="s">
        <v>331</v>
      </c>
    </row>
    <row r="316" spans="1:15" ht="15.75" customHeight="1" x14ac:dyDescent="0.2">
      <c r="A316" t="s">
        <v>467</v>
      </c>
      <c r="B316" t="s">
        <v>328</v>
      </c>
      <c r="C316" t="s">
        <v>283</v>
      </c>
      <c r="D316" t="s">
        <v>273</v>
      </c>
      <c r="E316" t="s">
        <v>71</v>
      </c>
      <c r="F316" t="s">
        <v>74</v>
      </c>
      <c r="G316">
        <v>318</v>
      </c>
      <c r="H316">
        <v>796</v>
      </c>
      <c r="I316">
        <v>253128</v>
      </c>
      <c r="J316">
        <v>153067</v>
      </c>
      <c r="K316">
        <v>100061</v>
      </c>
      <c r="L316">
        <v>233901</v>
      </c>
      <c r="M316">
        <v>19227</v>
      </c>
      <c r="N316" t="s">
        <v>341</v>
      </c>
      <c r="O316" t="s">
        <v>331</v>
      </c>
    </row>
    <row r="317" spans="1:15" ht="15.75" customHeight="1" x14ac:dyDescent="0.2">
      <c r="A317" t="s">
        <v>414</v>
      </c>
      <c r="B317" t="s">
        <v>271</v>
      </c>
      <c r="C317" t="s">
        <v>309</v>
      </c>
      <c r="D317" t="s">
        <v>340</v>
      </c>
      <c r="E317" t="s">
        <v>82</v>
      </c>
      <c r="F317" t="s">
        <v>74</v>
      </c>
      <c r="G317">
        <v>466</v>
      </c>
      <c r="H317">
        <v>1533</v>
      </c>
      <c r="I317">
        <v>714378</v>
      </c>
      <c r="J317">
        <v>499107</v>
      </c>
      <c r="K317">
        <v>215271</v>
      </c>
      <c r="L317">
        <v>733346</v>
      </c>
      <c r="M317">
        <v>-18968</v>
      </c>
      <c r="N317" t="s">
        <v>186</v>
      </c>
      <c r="O317" t="s">
        <v>331</v>
      </c>
    </row>
    <row r="318" spans="1:15" ht="15.75" customHeight="1" x14ac:dyDescent="0.2">
      <c r="A318" t="s">
        <v>106</v>
      </c>
      <c r="B318" t="s">
        <v>338</v>
      </c>
      <c r="C318" t="s">
        <v>350</v>
      </c>
      <c r="D318" t="s">
        <v>223</v>
      </c>
      <c r="E318" t="s">
        <v>318</v>
      </c>
      <c r="F318" t="s">
        <v>92</v>
      </c>
      <c r="G318">
        <v>426</v>
      </c>
      <c r="H318">
        <v>656</v>
      </c>
      <c r="I318">
        <v>279456</v>
      </c>
      <c r="J318">
        <v>143632</v>
      </c>
      <c r="K318">
        <v>135824</v>
      </c>
      <c r="L318">
        <v>291435</v>
      </c>
      <c r="M318">
        <v>-11979</v>
      </c>
      <c r="N318" t="s">
        <v>322</v>
      </c>
      <c r="O318" t="s">
        <v>320</v>
      </c>
    </row>
    <row r="319" spans="1:15" ht="15.75" customHeight="1" x14ac:dyDescent="0.2">
      <c r="A319" t="s">
        <v>468</v>
      </c>
      <c r="B319" t="s">
        <v>263</v>
      </c>
      <c r="C319" t="s">
        <v>354</v>
      </c>
      <c r="D319" t="s">
        <v>391</v>
      </c>
      <c r="E319" t="s">
        <v>318</v>
      </c>
      <c r="F319" t="s">
        <v>87</v>
      </c>
      <c r="G319">
        <v>323</v>
      </c>
      <c r="H319">
        <v>50</v>
      </c>
      <c r="I319">
        <v>16150</v>
      </c>
      <c r="J319">
        <v>12489</v>
      </c>
      <c r="K319">
        <v>3661</v>
      </c>
      <c r="L319">
        <v>2124</v>
      </c>
      <c r="M319">
        <v>14026</v>
      </c>
      <c r="N319" t="s">
        <v>322</v>
      </c>
      <c r="O319" t="s">
        <v>331</v>
      </c>
    </row>
    <row r="320" spans="1:15" ht="15.75" customHeight="1" x14ac:dyDescent="0.2">
      <c r="A320" t="s">
        <v>156</v>
      </c>
      <c r="B320" t="s">
        <v>328</v>
      </c>
      <c r="C320" t="s">
        <v>283</v>
      </c>
      <c r="D320" t="s">
        <v>69</v>
      </c>
      <c r="E320" t="s">
        <v>325</v>
      </c>
      <c r="F320" t="s">
        <v>199</v>
      </c>
      <c r="G320">
        <v>43</v>
      </c>
      <c r="H320">
        <v>1475</v>
      </c>
      <c r="I320">
        <v>63425</v>
      </c>
      <c r="J320">
        <v>53043</v>
      </c>
      <c r="K320">
        <v>10382</v>
      </c>
      <c r="L320">
        <v>71176</v>
      </c>
      <c r="M320">
        <v>-7751</v>
      </c>
      <c r="N320" t="s">
        <v>322</v>
      </c>
      <c r="O320" t="s">
        <v>326</v>
      </c>
    </row>
    <row r="321" spans="1:15" ht="15.75" customHeight="1" x14ac:dyDescent="0.2">
      <c r="A321" t="s">
        <v>410</v>
      </c>
      <c r="B321" t="s">
        <v>263</v>
      </c>
      <c r="C321" t="s">
        <v>354</v>
      </c>
      <c r="D321" t="s">
        <v>273</v>
      </c>
      <c r="E321" t="s">
        <v>82</v>
      </c>
      <c r="F321" t="s">
        <v>74</v>
      </c>
      <c r="G321">
        <v>53</v>
      </c>
      <c r="H321">
        <v>1704</v>
      </c>
      <c r="I321">
        <v>90312</v>
      </c>
      <c r="J321">
        <v>54471</v>
      </c>
      <c r="K321">
        <v>35841</v>
      </c>
      <c r="L321">
        <v>83391</v>
      </c>
      <c r="M321">
        <v>6921</v>
      </c>
      <c r="N321" t="s">
        <v>322</v>
      </c>
      <c r="O321" t="s">
        <v>189</v>
      </c>
    </row>
    <row r="322" spans="1:15" ht="15.75" customHeight="1" x14ac:dyDescent="0.2">
      <c r="A322" t="s">
        <v>469</v>
      </c>
      <c r="B322" t="s">
        <v>271</v>
      </c>
      <c r="C322" t="s">
        <v>272</v>
      </c>
      <c r="D322" t="s">
        <v>317</v>
      </c>
      <c r="E322" t="s">
        <v>318</v>
      </c>
      <c r="F322" t="s">
        <v>356</v>
      </c>
      <c r="G322">
        <v>446</v>
      </c>
      <c r="H322">
        <v>586</v>
      </c>
      <c r="I322">
        <v>261356</v>
      </c>
      <c r="J322">
        <v>140254</v>
      </c>
      <c r="K322">
        <v>121102</v>
      </c>
      <c r="L322">
        <v>268800</v>
      </c>
      <c r="M322">
        <v>-7444</v>
      </c>
      <c r="N322" t="s">
        <v>319</v>
      </c>
      <c r="O322" t="s">
        <v>331</v>
      </c>
    </row>
    <row r="323" spans="1:15" ht="15.75" customHeight="1" x14ac:dyDescent="0.2">
      <c r="A323" t="s">
        <v>470</v>
      </c>
      <c r="B323" t="s">
        <v>333</v>
      </c>
      <c r="C323" t="s">
        <v>343</v>
      </c>
      <c r="D323" t="s">
        <v>330</v>
      </c>
      <c r="E323" t="s">
        <v>82</v>
      </c>
      <c r="F323" t="s">
        <v>199</v>
      </c>
      <c r="G323">
        <v>71</v>
      </c>
      <c r="H323">
        <v>1490</v>
      </c>
      <c r="I323">
        <v>105790</v>
      </c>
      <c r="J323">
        <v>88275</v>
      </c>
      <c r="K323">
        <v>17515</v>
      </c>
      <c r="L323">
        <v>98861</v>
      </c>
      <c r="M323">
        <v>6929</v>
      </c>
      <c r="N323" t="s">
        <v>186</v>
      </c>
      <c r="O323" t="s">
        <v>326</v>
      </c>
    </row>
    <row r="324" spans="1:15" ht="15.75" customHeight="1" x14ac:dyDescent="0.2">
      <c r="A324" t="s">
        <v>471</v>
      </c>
      <c r="B324" t="s">
        <v>338</v>
      </c>
      <c r="C324" t="s">
        <v>345</v>
      </c>
      <c r="D324" t="s">
        <v>355</v>
      </c>
      <c r="E324" t="s">
        <v>82</v>
      </c>
      <c r="F324" t="s">
        <v>70</v>
      </c>
      <c r="G324">
        <v>17</v>
      </c>
      <c r="H324">
        <v>1176</v>
      </c>
      <c r="I324">
        <v>19992</v>
      </c>
      <c r="J324">
        <v>15958</v>
      </c>
      <c r="K324">
        <v>4034</v>
      </c>
      <c r="L324">
        <v>17473</v>
      </c>
      <c r="M324">
        <v>2519</v>
      </c>
      <c r="N324" t="s">
        <v>186</v>
      </c>
      <c r="O324" t="s">
        <v>189</v>
      </c>
    </row>
    <row r="325" spans="1:15" ht="15.75" customHeight="1" x14ac:dyDescent="0.2">
      <c r="A325" t="s">
        <v>420</v>
      </c>
      <c r="B325" t="s">
        <v>328</v>
      </c>
      <c r="C325" t="s">
        <v>283</v>
      </c>
      <c r="D325" t="s">
        <v>340</v>
      </c>
      <c r="E325" t="s">
        <v>325</v>
      </c>
      <c r="F325" t="s">
        <v>92</v>
      </c>
      <c r="G325">
        <v>471</v>
      </c>
      <c r="H325">
        <v>71</v>
      </c>
      <c r="I325">
        <v>33441</v>
      </c>
      <c r="J325">
        <v>26011</v>
      </c>
      <c r="K325">
        <v>7430</v>
      </c>
      <c r="L325">
        <v>47130</v>
      </c>
      <c r="M325">
        <v>-13689</v>
      </c>
      <c r="N325" t="s">
        <v>341</v>
      </c>
      <c r="O325" t="s">
        <v>320</v>
      </c>
    </row>
    <row r="326" spans="1:15" ht="15.75" customHeight="1" x14ac:dyDescent="0.2">
      <c r="A326" t="s">
        <v>471</v>
      </c>
      <c r="B326" t="s">
        <v>338</v>
      </c>
      <c r="C326" t="s">
        <v>345</v>
      </c>
      <c r="D326" t="s">
        <v>69</v>
      </c>
      <c r="E326" t="s">
        <v>318</v>
      </c>
      <c r="F326" t="s">
        <v>92</v>
      </c>
      <c r="G326">
        <v>243</v>
      </c>
      <c r="H326">
        <v>1934</v>
      </c>
      <c r="I326">
        <v>469962</v>
      </c>
      <c r="J326">
        <v>298002</v>
      </c>
      <c r="K326">
        <v>171960</v>
      </c>
      <c r="L326">
        <v>458933</v>
      </c>
      <c r="M326">
        <v>11029</v>
      </c>
      <c r="N326" t="s">
        <v>341</v>
      </c>
      <c r="O326" t="s">
        <v>189</v>
      </c>
    </row>
    <row r="327" spans="1:15" ht="15.75" customHeight="1" x14ac:dyDescent="0.2">
      <c r="A327" t="s">
        <v>472</v>
      </c>
      <c r="B327" t="s">
        <v>328</v>
      </c>
      <c r="C327" t="s">
        <v>329</v>
      </c>
      <c r="D327" t="s">
        <v>336</v>
      </c>
      <c r="E327" t="s">
        <v>71</v>
      </c>
      <c r="F327" t="s">
        <v>199</v>
      </c>
      <c r="G327">
        <v>65</v>
      </c>
      <c r="H327">
        <v>1265</v>
      </c>
      <c r="I327">
        <v>82225</v>
      </c>
      <c r="J327">
        <v>51408</v>
      </c>
      <c r="K327">
        <v>30817</v>
      </c>
      <c r="L327">
        <v>98531</v>
      </c>
      <c r="M327">
        <v>-16306</v>
      </c>
      <c r="N327" t="s">
        <v>322</v>
      </c>
      <c r="O327" t="s">
        <v>320</v>
      </c>
    </row>
    <row r="328" spans="1:15" ht="15.75" customHeight="1" x14ac:dyDescent="0.2">
      <c r="A328" t="s">
        <v>362</v>
      </c>
      <c r="B328" t="s">
        <v>271</v>
      </c>
      <c r="C328" t="s">
        <v>270</v>
      </c>
      <c r="D328" t="s">
        <v>69</v>
      </c>
      <c r="E328" t="s">
        <v>318</v>
      </c>
      <c r="F328" t="s">
        <v>74</v>
      </c>
      <c r="G328">
        <v>89</v>
      </c>
      <c r="H328">
        <v>185</v>
      </c>
      <c r="I328">
        <v>16465</v>
      </c>
      <c r="J328">
        <v>11184</v>
      </c>
      <c r="K328">
        <v>5281</v>
      </c>
      <c r="L328">
        <v>17235</v>
      </c>
      <c r="M328">
        <v>-770</v>
      </c>
      <c r="N328" t="s">
        <v>341</v>
      </c>
      <c r="O328" t="s">
        <v>320</v>
      </c>
    </row>
    <row r="329" spans="1:15" ht="15.75" customHeight="1" x14ac:dyDescent="0.2">
      <c r="A329" t="s">
        <v>473</v>
      </c>
      <c r="B329" t="s">
        <v>271</v>
      </c>
      <c r="C329" t="s">
        <v>270</v>
      </c>
      <c r="D329" t="s">
        <v>308</v>
      </c>
      <c r="E329" t="s">
        <v>325</v>
      </c>
      <c r="F329" t="s">
        <v>199</v>
      </c>
      <c r="G329">
        <v>74</v>
      </c>
      <c r="H329">
        <v>1207</v>
      </c>
      <c r="I329">
        <v>89318</v>
      </c>
      <c r="J329">
        <v>52401</v>
      </c>
      <c r="K329">
        <v>36917</v>
      </c>
      <c r="L329">
        <v>80808</v>
      </c>
      <c r="M329">
        <v>8510</v>
      </c>
      <c r="N329" t="s">
        <v>341</v>
      </c>
      <c r="O329" t="s">
        <v>331</v>
      </c>
    </row>
    <row r="330" spans="1:15" ht="15.75" customHeight="1" x14ac:dyDescent="0.2">
      <c r="A330" t="s">
        <v>474</v>
      </c>
      <c r="B330" t="s">
        <v>328</v>
      </c>
      <c r="C330" t="s">
        <v>329</v>
      </c>
      <c r="D330" t="s">
        <v>307</v>
      </c>
      <c r="E330" t="s">
        <v>318</v>
      </c>
      <c r="F330" t="s">
        <v>306</v>
      </c>
      <c r="G330">
        <v>389</v>
      </c>
      <c r="H330">
        <v>1015</v>
      </c>
      <c r="I330">
        <v>394835</v>
      </c>
      <c r="J330">
        <v>282427</v>
      </c>
      <c r="K330">
        <v>112408</v>
      </c>
      <c r="L330">
        <v>403755</v>
      </c>
      <c r="M330">
        <v>-8920</v>
      </c>
      <c r="N330" t="s">
        <v>186</v>
      </c>
      <c r="O330" t="s">
        <v>331</v>
      </c>
    </row>
    <row r="331" spans="1:15" ht="15.75" customHeight="1" x14ac:dyDescent="0.2">
      <c r="A331" t="s">
        <v>147</v>
      </c>
      <c r="B331" t="s">
        <v>263</v>
      </c>
      <c r="C331" t="s">
        <v>276</v>
      </c>
      <c r="D331" t="s">
        <v>77</v>
      </c>
      <c r="E331" t="s">
        <v>82</v>
      </c>
      <c r="F331" t="s">
        <v>70</v>
      </c>
      <c r="G331">
        <v>113</v>
      </c>
      <c r="H331">
        <v>685</v>
      </c>
      <c r="I331">
        <v>77405</v>
      </c>
      <c r="J331">
        <v>61435</v>
      </c>
      <c r="K331">
        <v>15970</v>
      </c>
      <c r="L331">
        <v>60991</v>
      </c>
      <c r="M331">
        <v>16414</v>
      </c>
      <c r="N331" t="s">
        <v>322</v>
      </c>
      <c r="O331" t="s">
        <v>326</v>
      </c>
    </row>
    <row r="332" spans="1:15" ht="15.75" customHeight="1" x14ac:dyDescent="0.2">
      <c r="A332" t="s">
        <v>397</v>
      </c>
      <c r="B332" t="s">
        <v>328</v>
      </c>
      <c r="C332" t="s">
        <v>329</v>
      </c>
      <c r="D332" t="s">
        <v>95</v>
      </c>
      <c r="E332" t="s">
        <v>318</v>
      </c>
      <c r="F332" t="s">
        <v>87</v>
      </c>
      <c r="G332">
        <v>428</v>
      </c>
      <c r="H332">
        <v>543</v>
      </c>
      <c r="I332">
        <v>232404</v>
      </c>
      <c r="J332">
        <v>141062</v>
      </c>
      <c r="K332">
        <v>91342</v>
      </c>
      <c r="L332">
        <v>215811</v>
      </c>
      <c r="M332">
        <v>16593</v>
      </c>
      <c r="N332" t="s">
        <v>322</v>
      </c>
      <c r="O332" t="s">
        <v>320</v>
      </c>
    </row>
    <row r="333" spans="1:15" ht="15.75" customHeight="1" x14ac:dyDescent="0.2">
      <c r="A333" t="s">
        <v>127</v>
      </c>
      <c r="B333" t="s">
        <v>263</v>
      </c>
      <c r="C333" t="s">
        <v>354</v>
      </c>
      <c r="D333" t="s">
        <v>336</v>
      </c>
      <c r="E333" t="s">
        <v>82</v>
      </c>
      <c r="F333" t="s">
        <v>356</v>
      </c>
      <c r="G333">
        <v>298</v>
      </c>
      <c r="H333">
        <v>355</v>
      </c>
      <c r="I333">
        <v>105790</v>
      </c>
      <c r="J333">
        <v>68300</v>
      </c>
      <c r="K333">
        <v>37490</v>
      </c>
      <c r="L333">
        <v>124180</v>
      </c>
      <c r="M333">
        <v>-18390</v>
      </c>
      <c r="N333" t="s">
        <v>319</v>
      </c>
      <c r="O333" t="s">
        <v>326</v>
      </c>
    </row>
    <row r="334" spans="1:15" ht="15.75" customHeight="1" x14ac:dyDescent="0.2">
      <c r="A334" t="s">
        <v>123</v>
      </c>
      <c r="B334" t="s">
        <v>333</v>
      </c>
      <c r="C334" t="s">
        <v>265</v>
      </c>
      <c r="D334" t="s">
        <v>346</v>
      </c>
      <c r="E334" t="s">
        <v>325</v>
      </c>
      <c r="F334" t="s">
        <v>92</v>
      </c>
      <c r="G334">
        <v>402</v>
      </c>
      <c r="H334">
        <v>1521</v>
      </c>
      <c r="I334">
        <v>611442</v>
      </c>
      <c r="J334">
        <v>439323</v>
      </c>
      <c r="K334">
        <v>172119</v>
      </c>
      <c r="L334">
        <v>624872</v>
      </c>
      <c r="M334">
        <v>-13430</v>
      </c>
      <c r="N334" t="s">
        <v>319</v>
      </c>
      <c r="O334" t="s">
        <v>326</v>
      </c>
    </row>
    <row r="335" spans="1:15" ht="15.75" customHeight="1" x14ac:dyDescent="0.2">
      <c r="A335" t="s">
        <v>475</v>
      </c>
      <c r="B335" t="s">
        <v>333</v>
      </c>
      <c r="C335" t="s">
        <v>370</v>
      </c>
      <c r="D335" t="s">
        <v>73</v>
      </c>
      <c r="E335" t="s">
        <v>318</v>
      </c>
      <c r="F335" t="s">
        <v>306</v>
      </c>
      <c r="G335">
        <v>40</v>
      </c>
      <c r="H335">
        <v>921</v>
      </c>
      <c r="I335">
        <v>36840</v>
      </c>
      <c r="J335">
        <v>24246</v>
      </c>
      <c r="K335">
        <v>12594</v>
      </c>
      <c r="L335">
        <v>29503</v>
      </c>
      <c r="M335">
        <v>7337</v>
      </c>
      <c r="N335" t="s">
        <v>319</v>
      </c>
      <c r="O335" t="s">
        <v>326</v>
      </c>
    </row>
    <row r="336" spans="1:15" ht="15.75" customHeight="1" x14ac:dyDescent="0.2">
      <c r="A336" t="s">
        <v>476</v>
      </c>
      <c r="B336" t="s">
        <v>338</v>
      </c>
      <c r="C336" t="s">
        <v>345</v>
      </c>
      <c r="D336" t="s">
        <v>360</v>
      </c>
      <c r="E336" t="s">
        <v>71</v>
      </c>
      <c r="F336" t="s">
        <v>70</v>
      </c>
      <c r="G336">
        <v>484</v>
      </c>
      <c r="H336">
        <v>1624</v>
      </c>
      <c r="I336">
        <v>786016</v>
      </c>
      <c r="J336">
        <v>559268</v>
      </c>
      <c r="K336">
        <v>226748</v>
      </c>
      <c r="L336">
        <v>776162</v>
      </c>
      <c r="M336">
        <v>9854</v>
      </c>
      <c r="N336" t="s">
        <v>322</v>
      </c>
      <c r="O336" t="s">
        <v>320</v>
      </c>
    </row>
    <row r="337" spans="1:15" ht="15.75" customHeight="1" x14ac:dyDescent="0.2">
      <c r="A337" t="s">
        <v>145</v>
      </c>
      <c r="B337" t="s">
        <v>328</v>
      </c>
      <c r="C337" t="s">
        <v>367</v>
      </c>
      <c r="D337" t="s">
        <v>336</v>
      </c>
      <c r="E337" t="s">
        <v>318</v>
      </c>
      <c r="F337" t="s">
        <v>92</v>
      </c>
      <c r="G337">
        <v>96</v>
      </c>
      <c r="H337">
        <v>520</v>
      </c>
      <c r="I337">
        <v>49920</v>
      </c>
      <c r="J337">
        <v>29641</v>
      </c>
      <c r="K337">
        <v>20279</v>
      </c>
      <c r="L337">
        <v>64513</v>
      </c>
      <c r="M337">
        <v>-14593</v>
      </c>
      <c r="N337" t="s">
        <v>319</v>
      </c>
      <c r="O337" t="s">
        <v>326</v>
      </c>
    </row>
    <row r="338" spans="1:15" ht="15.75" customHeight="1" x14ac:dyDescent="0.2">
      <c r="A338" t="s">
        <v>229</v>
      </c>
      <c r="B338" t="s">
        <v>271</v>
      </c>
      <c r="C338" t="s">
        <v>272</v>
      </c>
      <c r="D338" t="s">
        <v>307</v>
      </c>
      <c r="E338" t="s">
        <v>318</v>
      </c>
      <c r="F338" t="s">
        <v>92</v>
      </c>
      <c r="G338">
        <v>224</v>
      </c>
      <c r="H338">
        <v>778</v>
      </c>
      <c r="I338">
        <v>174272</v>
      </c>
      <c r="J338">
        <v>95682</v>
      </c>
      <c r="K338">
        <v>78590</v>
      </c>
      <c r="L338">
        <v>187288</v>
      </c>
      <c r="M338">
        <v>-13016</v>
      </c>
      <c r="N338" t="s">
        <v>341</v>
      </c>
      <c r="O338" t="s">
        <v>326</v>
      </c>
    </row>
    <row r="339" spans="1:15" ht="15.75" customHeight="1" x14ac:dyDescent="0.2">
      <c r="A339" t="s">
        <v>477</v>
      </c>
      <c r="B339" t="s">
        <v>328</v>
      </c>
      <c r="C339" t="s">
        <v>283</v>
      </c>
      <c r="D339" t="s">
        <v>336</v>
      </c>
      <c r="E339" t="s">
        <v>71</v>
      </c>
      <c r="F339" t="s">
        <v>356</v>
      </c>
      <c r="G339">
        <v>424</v>
      </c>
      <c r="H339">
        <v>855</v>
      </c>
      <c r="I339">
        <v>362520</v>
      </c>
      <c r="J339">
        <v>252810</v>
      </c>
      <c r="K339">
        <v>109710</v>
      </c>
      <c r="L339">
        <v>342591</v>
      </c>
      <c r="M339">
        <v>19929</v>
      </c>
      <c r="N339" t="s">
        <v>319</v>
      </c>
      <c r="O339" t="s">
        <v>326</v>
      </c>
    </row>
    <row r="340" spans="1:15" ht="15.75" customHeight="1" x14ac:dyDescent="0.2">
      <c r="A340" t="s">
        <v>478</v>
      </c>
      <c r="B340" t="s">
        <v>271</v>
      </c>
      <c r="C340" t="s">
        <v>309</v>
      </c>
      <c r="D340" t="s">
        <v>69</v>
      </c>
      <c r="E340" t="s">
        <v>318</v>
      </c>
      <c r="F340" t="s">
        <v>356</v>
      </c>
      <c r="G340">
        <v>31</v>
      </c>
      <c r="H340">
        <v>927</v>
      </c>
      <c r="I340">
        <v>28737</v>
      </c>
      <c r="J340">
        <v>22950</v>
      </c>
      <c r="K340">
        <v>5787</v>
      </c>
      <c r="L340">
        <v>12454</v>
      </c>
      <c r="M340">
        <v>16283</v>
      </c>
      <c r="N340" t="s">
        <v>341</v>
      </c>
      <c r="O340" t="s">
        <v>331</v>
      </c>
    </row>
    <row r="341" spans="1:15" ht="15.75" customHeight="1" x14ac:dyDescent="0.2">
      <c r="A341" t="s">
        <v>376</v>
      </c>
      <c r="B341" t="s">
        <v>271</v>
      </c>
      <c r="C341" t="s">
        <v>270</v>
      </c>
      <c r="D341" t="s">
        <v>360</v>
      </c>
      <c r="E341" t="s">
        <v>82</v>
      </c>
      <c r="F341" t="s">
        <v>356</v>
      </c>
      <c r="G341">
        <v>325</v>
      </c>
      <c r="H341">
        <v>1580</v>
      </c>
      <c r="I341">
        <v>513500</v>
      </c>
      <c r="J341">
        <v>261506</v>
      </c>
      <c r="K341">
        <v>251994</v>
      </c>
      <c r="L341">
        <v>527841</v>
      </c>
      <c r="M341">
        <v>-14341</v>
      </c>
      <c r="N341" t="s">
        <v>319</v>
      </c>
      <c r="O341" t="s">
        <v>320</v>
      </c>
    </row>
    <row r="342" spans="1:15" ht="15.75" customHeight="1" x14ac:dyDescent="0.2">
      <c r="A342" t="s">
        <v>409</v>
      </c>
      <c r="B342" t="s">
        <v>263</v>
      </c>
      <c r="C342" t="s">
        <v>354</v>
      </c>
      <c r="D342" t="s">
        <v>307</v>
      </c>
      <c r="E342" t="s">
        <v>325</v>
      </c>
      <c r="F342" t="s">
        <v>87</v>
      </c>
      <c r="G342">
        <v>149</v>
      </c>
      <c r="H342">
        <v>1777</v>
      </c>
      <c r="I342">
        <v>264773</v>
      </c>
      <c r="J342">
        <v>145922</v>
      </c>
      <c r="K342">
        <v>118851</v>
      </c>
      <c r="L342">
        <v>256471</v>
      </c>
      <c r="M342">
        <v>8302</v>
      </c>
      <c r="N342" t="s">
        <v>322</v>
      </c>
      <c r="O342" t="s">
        <v>326</v>
      </c>
    </row>
    <row r="343" spans="1:15" ht="15.75" customHeight="1" x14ac:dyDescent="0.2">
      <c r="A343" t="s">
        <v>479</v>
      </c>
      <c r="B343" t="s">
        <v>271</v>
      </c>
      <c r="C343" t="s">
        <v>309</v>
      </c>
      <c r="D343" t="s">
        <v>307</v>
      </c>
      <c r="E343" t="s">
        <v>71</v>
      </c>
      <c r="F343" t="s">
        <v>70</v>
      </c>
      <c r="G343">
        <v>89</v>
      </c>
      <c r="H343">
        <v>225</v>
      </c>
      <c r="I343">
        <v>20025</v>
      </c>
      <c r="J343">
        <v>10663</v>
      </c>
      <c r="K343">
        <v>9362</v>
      </c>
      <c r="L343">
        <v>23665</v>
      </c>
      <c r="M343">
        <v>-3640</v>
      </c>
      <c r="N343" t="s">
        <v>186</v>
      </c>
      <c r="O343" t="s">
        <v>326</v>
      </c>
    </row>
    <row r="344" spans="1:15" ht="15.75" customHeight="1" x14ac:dyDescent="0.2">
      <c r="A344" t="s">
        <v>351</v>
      </c>
      <c r="B344" t="s">
        <v>338</v>
      </c>
      <c r="C344" t="s">
        <v>345</v>
      </c>
      <c r="D344" t="s">
        <v>346</v>
      </c>
      <c r="E344" t="s">
        <v>318</v>
      </c>
      <c r="F344" t="s">
        <v>81</v>
      </c>
      <c r="G344">
        <v>346</v>
      </c>
      <c r="H344">
        <v>1461</v>
      </c>
      <c r="I344">
        <v>505506</v>
      </c>
      <c r="J344">
        <v>421615</v>
      </c>
      <c r="K344">
        <v>83891</v>
      </c>
      <c r="L344">
        <v>513590</v>
      </c>
      <c r="M344">
        <v>-8084</v>
      </c>
      <c r="N344" t="s">
        <v>322</v>
      </c>
      <c r="O344" t="s">
        <v>320</v>
      </c>
    </row>
    <row r="345" spans="1:15" ht="15.75" customHeight="1" x14ac:dyDescent="0.2">
      <c r="A345" t="s">
        <v>374</v>
      </c>
      <c r="B345" t="s">
        <v>333</v>
      </c>
      <c r="C345" t="s">
        <v>343</v>
      </c>
      <c r="D345" t="s">
        <v>391</v>
      </c>
      <c r="E345" t="s">
        <v>71</v>
      </c>
      <c r="F345" t="s">
        <v>70</v>
      </c>
      <c r="G345">
        <v>60</v>
      </c>
      <c r="H345">
        <v>444</v>
      </c>
      <c r="I345">
        <v>26640</v>
      </c>
      <c r="J345">
        <v>20783</v>
      </c>
      <c r="K345">
        <v>5857</v>
      </c>
      <c r="L345">
        <v>22092</v>
      </c>
      <c r="M345">
        <v>4548</v>
      </c>
      <c r="N345" t="s">
        <v>322</v>
      </c>
      <c r="O345" t="s">
        <v>189</v>
      </c>
    </row>
    <row r="346" spans="1:15" ht="15.75" customHeight="1" x14ac:dyDescent="0.2">
      <c r="A346" t="s">
        <v>480</v>
      </c>
      <c r="B346" t="s">
        <v>338</v>
      </c>
      <c r="C346" t="s">
        <v>339</v>
      </c>
      <c r="D346" t="s">
        <v>330</v>
      </c>
      <c r="E346" t="s">
        <v>318</v>
      </c>
      <c r="F346" t="s">
        <v>92</v>
      </c>
      <c r="G346">
        <v>441</v>
      </c>
      <c r="H346">
        <v>217</v>
      </c>
      <c r="I346">
        <v>95697</v>
      </c>
      <c r="J346">
        <v>65734</v>
      </c>
      <c r="K346">
        <v>29963</v>
      </c>
      <c r="L346">
        <v>86220</v>
      </c>
      <c r="M346">
        <v>9477</v>
      </c>
      <c r="N346" t="s">
        <v>319</v>
      </c>
      <c r="O346" t="s">
        <v>326</v>
      </c>
    </row>
    <row r="347" spans="1:15" ht="15.75" customHeight="1" x14ac:dyDescent="0.2">
      <c r="A347" t="s">
        <v>481</v>
      </c>
      <c r="B347" t="s">
        <v>333</v>
      </c>
      <c r="C347" t="s">
        <v>269</v>
      </c>
      <c r="D347" t="s">
        <v>307</v>
      </c>
      <c r="E347" t="s">
        <v>82</v>
      </c>
      <c r="F347" t="s">
        <v>74</v>
      </c>
      <c r="G347">
        <v>187</v>
      </c>
      <c r="H347">
        <v>1459</v>
      </c>
      <c r="I347">
        <v>272833</v>
      </c>
      <c r="J347">
        <v>144728</v>
      </c>
      <c r="K347">
        <v>128105</v>
      </c>
      <c r="L347">
        <v>278502</v>
      </c>
      <c r="M347">
        <v>-5669</v>
      </c>
      <c r="N347" t="s">
        <v>186</v>
      </c>
      <c r="O347" t="s">
        <v>326</v>
      </c>
    </row>
    <row r="348" spans="1:15" ht="15.75" customHeight="1" x14ac:dyDescent="0.2">
      <c r="A348" t="s">
        <v>482</v>
      </c>
      <c r="B348" t="s">
        <v>338</v>
      </c>
      <c r="C348" t="s">
        <v>348</v>
      </c>
      <c r="D348" t="s">
        <v>223</v>
      </c>
      <c r="E348" t="s">
        <v>71</v>
      </c>
      <c r="F348" t="s">
        <v>199</v>
      </c>
      <c r="G348">
        <v>235</v>
      </c>
      <c r="H348">
        <v>255</v>
      </c>
      <c r="I348">
        <v>59925</v>
      </c>
      <c r="J348">
        <v>35120</v>
      </c>
      <c r="K348">
        <v>24805</v>
      </c>
      <c r="L348">
        <v>42935</v>
      </c>
      <c r="M348">
        <v>16990</v>
      </c>
      <c r="N348" t="s">
        <v>341</v>
      </c>
      <c r="O348" t="s">
        <v>331</v>
      </c>
    </row>
    <row r="349" spans="1:15" ht="15.75" customHeight="1" x14ac:dyDescent="0.2">
      <c r="A349" t="s">
        <v>483</v>
      </c>
      <c r="B349" t="s">
        <v>271</v>
      </c>
      <c r="C349" t="s">
        <v>309</v>
      </c>
      <c r="D349" t="s">
        <v>77</v>
      </c>
      <c r="E349" t="s">
        <v>325</v>
      </c>
      <c r="F349" t="s">
        <v>356</v>
      </c>
      <c r="G349">
        <v>199</v>
      </c>
      <c r="H349">
        <v>1453</v>
      </c>
      <c r="I349">
        <v>289147</v>
      </c>
      <c r="J349">
        <v>201640</v>
      </c>
      <c r="K349">
        <v>87507</v>
      </c>
      <c r="L349">
        <v>301492</v>
      </c>
      <c r="M349">
        <v>-12345</v>
      </c>
      <c r="N349" t="s">
        <v>186</v>
      </c>
      <c r="O349" t="s">
        <v>189</v>
      </c>
    </row>
    <row r="350" spans="1:15" ht="15.75" customHeight="1" x14ac:dyDescent="0.2">
      <c r="A350" t="s">
        <v>484</v>
      </c>
      <c r="B350" t="s">
        <v>338</v>
      </c>
      <c r="C350" t="s">
        <v>350</v>
      </c>
      <c r="D350" t="s">
        <v>317</v>
      </c>
      <c r="E350" t="s">
        <v>82</v>
      </c>
      <c r="F350" t="s">
        <v>87</v>
      </c>
      <c r="G350">
        <v>383</v>
      </c>
      <c r="H350">
        <v>1994</v>
      </c>
      <c r="I350">
        <v>763702</v>
      </c>
      <c r="J350">
        <v>418215</v>
      </c>
      <c r="K350">
        <v>345487</v>
      </c>
      <c r="L350">
        <v>779030</v>
      </c>
      <c r="M350">
        <v>-15328</v>
      </c>
      <c r="N350" t="s">
        <v>186</v>
      </c>
      <c r="O350" t="s">
        <v>326</v>
      </c>
    </row>
    <row r="351" spans="1:15" ht="15.75" customHeight="1" x14ac:dyDescent="0.2">
      <c r="A351" t="s">
        <v>429</v>
      </c>
      <c r="B351" t="s">
        <v>263</v>
      </c>
      <c r="C351" t="s">
        <v>280</v>
      </c>
      <c r="D351" t="s">
        <v>340</v>
      </c>
      <c r="E351" t="s">
        <v>318</v>
      </c>
      <c r="F351" t="s">
        <v>81</v>
      </c>
      <c r="G351">
        <v>463</v>
      </c>
      <c r="H351">
        <v>1563</v>
      </c>
      <c r="I351">
        <v>723669</v>
      </c>
      <c r="J351">
        <v>593481</v>
      </c>
      <c r="K351">
        <v>130188</v>
      </c>
      <c r="L351">
        <v>731521</v>
      </c>
      <c r="M351">
        <v>-7852</v>
      </c>
      <c r="N351" t="s">
        <v>341</v>
      </c>
      <c r="O351" t="s">
        <v>189</v>
      </c>
    </row>
    <row r="352" spans="1:15" ht="15.75" customHeight="1" x14ac:dyDescent="0.2">
      <c r="A352" t="s">
        <v>478</v>
      </c>
      <c r="B352" t="s">
        <v>328</v>
      </c>
      <c r="C352" t="s">
        <v>329</v>
      </c>
      <c r="D352" t="s">
        <v>371</v>
      </c>
      <c r="E352" t="s">
        <v>71</v>
      </c>
      <c r="F352" t="s">
        <v>74</v>
      </c>
      <c r="G352">
        <v>453</v>
      </c>
      <c r="H352">
        <v>447</v>
      </c>
      <c r="I352">
        <v>202491</v>
      </c>
      <c r="J352">
        <v>135040</v>
      </c>
      <c r="K352">
        <v>67451</v>
      </c>
      <c r="L352">
        <v>203872</v>
      </c>
      <c r="M352">
        <v>-1381</v>
      </c>
      <c r="N352" t="s">
        <v>341</v>
      </c>
      <c r="O352" t="s">
        <v>189</v>
      </c>
    </row>
    <row r="353" spans="1:15" ht="15.75" customHeight="1" x14ac:dyDescent="0.2">
      <c r="A353" t="s">
        <v>167</v>
      </c>
      <c r="B353" t="s">
        <v>333</v>
      </c>
      <c r="C353" t="s">
        <v>343</v>
      </c>
      <c r="D353" t="s">
        <v>324</v>
      </c>
      <c r="E353" t="s">
        <v>82</v>
      </c>
      <c r="F353" t="s">
        <v>81</v>
      </c>
      <c r="G353">
        <v>397</v>
      </c>
      <c r="H353">
        <v>1664</v>
      </c>
      <c r="I353">
        <v>660608</v>
      </c>
      <c r="J353">
        <v>481326</v>
      </c>
      <c r="K353">
        <v>179282</v>
      </c>
      <c r="L353">
        <v>653684</v>
      </c>
      <c r="M353">
        <v>6924</v>
      </c>
      <c r="N353" t="s">
        <v>341</v>
      </c>
      <c r="O353" t="s">
        <v>326</v>
      </c>
    </row>
    <row r="354" spans="1:15" ht="15.75" customHeight="1" x14ac:dyDescent="0.2">
      <c r="A354" t="s">
        <v>475</v>
      </c>
      <c r="B354" t="s">
        <v>263</v>
      </c>
      <c r="C354" t="s">
        <v>354</v>
      </c>
      <c r="D354" t="s">
        <v>317</v>
      </c>
      <c r="E354" t="s">
        <v>82</v>
      </c>
      <c r="F354" t="s">
        <v>81</v>
      </c>
      <c r="G354">
        <v>166</v>
      </c>
      <c r="H354">
        <v>483</v>
      </c>
      <c r="I354">
        <v>80178</v>
      </c>
      <c r="J354">
        <v>61304</v>
      </c>
      <c r="K354">
        <v>18874</v>
      </c>
      <c r="L354">
        <v>94734</v>
      </c>
      <c r="M354">
        <v>-14556</v>
      </c>
      <c r="N354" t="s">
        <v>319</v>
      </c>
      <c r="O354" t="s">
        <v>326</v>
      </c>
    </row>
    <row r="355" spans="1:15" ht="15.75" customHeight="1" x14ac:dyDescent="0.2">
      <c r="A355" t="s">
        <v>480</v>
      </c>
      <c r="B355" t="s">
        <v>333</v>
      </c>
      <c r="C355" t="s">
        <v>269</v>
      </c>
      <c r="D355" t="s">
        <v>335</v>
      </c>
      <c r="E355" t="s">
        <v>325</v>
      </c>
      <c r="F355" t="s">
        <v>87</v>
      </c>
      <c r="G355">
        <v>308</v>
      </c>
      <c r="H355">
        <v>1411</v>
      </c>
      <c r="I355">
        <v>434588</v>
      </c>
      <c r="J355">
        <v>236445</v>
      </c>
      <c r="K355">
        <v>198143</v>
      </c>
      <c r="L355">
        <v>450386</v>
      </c>
      <c r="M355">
        <v>-15798</v>
      </c>
      <c r="N355" t="s">
        <v>186</v>
      </c>
      <c r="O355" t="s">
        <v>331</v>
      </c>
    </row>
    <row r="356" spans="1:15" ht="15.75" customHeight="1" x14ac:dyDescent="0.2">
      <c r="A356" t="s">
        <v>463</v>
      </c>
      <c r="B356" t="s">
        <v>271</v>
      </c>
      <c r="C356" t="s">
        <v>309</v>
      </c>
      <c r="D356" t="s">
        <v>84</v>
      </c>
      <c r="E356" t="s">
        <v>71</v>
      </c>
      <c r="F356" t="s">
        <v>70</v>
      </c>
      <c r="G356">
        <v>445</v>
      </c>
      <c r="H356">
        <v>437</v>
      </c>
      <c r="I356">
        <v>194465</v>
      </c>
      <c r="J356">
        <v>126222</v>
      </c>
      <c r="K356">
        <v>68243</v>
      </c>
      <c r="L356">
        <v>176550</v>
      </c>
      <c r="M356">
        <v>17915</v>
      </c>
      <c r="N356" t="s">
        <v>186</v>
      </c>
      <c r="O356" t="s">
        <v>320</v>
      </c>
    </row>
    <row r="357" spans="1:15" ht="15.75" customHeight="1" x14ac:dyDescent="0.2">
      <c r="A357" t="s">
        <v>376</v>
      </c>
      <c r="B357" t="s">
        <v>333</v>
      </c>
      <c r="C357" t="s">
        <v>269</v>
      </c>
      <c r="D357" t="s">
        <v>371</v>
      </c>
      <c r="E357" t="s">
        <v>318</v>
      </c>
      <c r="F357" t="s">
        <v>306</v>
      </c>
      <c r="G357">
        <v>345</v>
      </c>
      <c r="H357">
        <v>1058</v>
      </c>
      <c r="I357">
        <v>365010</v>
      </c>
      <c r="J357">
        <v>210135</v>
      </c>
      <c r="K357">
        <v>154875</v>
      </c>
      <c r="L357">
        <v>350095</v>
      </c>
      <c r="M357">
        <v>14915</v>
      </c>
      <c r="N357" t="s">
        <v>319</v>
      </c>
      <c r="O357" t="s">
        <v>320</v>
      </c>
    </row>
    <row r="358" spans="1:15" ht="15.75" customHeight="1" x14ac:dyDescent="0.2">
      <c r="A358" t="s">
        <v>411</v>
      </c>
      <c r="B358" t="s">
        <v>328</v>
      </c>
      <c r="C358" t="s">
        <v>367</v>
      </c>
      <c r="D358" t="s">
        <v>391</v>
      </c>
      <c r="E358" t="s">
        <v>325</v>
      </c>
      <c r="F358" t="s">
        <v>81</v>
      </c>
      <c r="G358">
        <v>162</v>
      </c>
      <c r="H358">
        <v>1613</v>
      </c>
      <c r="I358">
        <v>261306</v>
      </c>
      <c r="J358">
        <v>207352</v>
      </c>
      <c r="K358">
        <v>53954</v>
      </c>
      <c r="L358">
        <v>245633</v>
      </c>
      <c r="M358">
        <v>15673</v>
      </c>
      <c r="N358" t="s">
        <v>319</v>
      </c>
      <c r="O358" t="s">
        <v>331</v>
      </c>
    </row>
    <row r="359" spans="1:15" ht="15.75" customHeight="1" x14ac:dyDescent="0.2">
      <c r="A359" t="s">
        <v>479</v>
      </c>
      <c r="B359" t="s">
        <v>328</v>
      </c>
      <c r="C359" t="s">
        <v>283</v>
      </c>
      <c r="D359" t="s">
        <v>273</v>
      </c>
      <c r="E359" t="s">
        <v>71</v>
      </c>
      <c r="F359" t="s">
        <v>199</v>
      </c>
      <c r="G359">
        <v>348</v>
      </c>
      <c r="H359">
        <v>1815</v>
      </c>
      <c r="I359">
        <v>631620</v>
      </c>
      <c r="J359">
        <v>429299</v>
      </c>
      <c r="K359">
        <v>202321</v>
      </c>
      <c r="L359">
        <v>637890</v>
      </c>
      <c r="M359">
        <v>-6270</v>
      </c>
      <c r="N359" t="s">
        <v>319</v>
      </c>
      <c r="O359" t="s">
        <v>331</v>
      </c>
    </row>
    <row r="360" spans="1:15" ht="15.75" customHeight="1" x14ac:dyDescent="0.2">
      <c r="A360" t="s">
        <v>485</v>
      </c>
      <c r="B360" t="s">
        <v>333</v>
      </c>
      <c r="C360" t="s">
        <v>265</v>
      </c>
      <c r="D360" t="s">
        <v>307</v>
      </c>
      <c r="E360" t="s">
        <v>318</v>
      </c>
      <c r="F360" t="s">
        <v>87</v>
      </c>
      <c r="G360">
        <v>240</v>
      </c>
      <c r="H360">
        <v>1804</v>
      </c>
      <c r="I360">
        <v>432960</v>
      </c>
      <c r="J360">
        <v>351181</v>
      </c>
      <c r="K360">
        <v>81779</v>
      </c>
      <c r="L360">
        <v>435573</v>
      </c>
      <c r="M360">
        <v>-2613</v>
      </c>
      <c r="N360" t="s">
        <v>341</v>
      </c>
      <c r="O360" t="s">
        <v>189</v>
      </c>
    </row>
    <row r="361" spans="1:15" ht="15.75" customHeight="1" x14ac:dyDescent="0.2">
      <c r="A361" t="s">
        <v>98</v>
      </c>
      <c r="B361" t="s">
        <v>338</v>
      </c>
      <c r="C361" t="s">
        <v>348</v>
      </c>
      <c r="D361" t="s">
        <v>324</v>
      </c>
      <c r="E361" t="s">
        <v>71</v>
      </c>
      <c r="F361" t="s">
        <v>74</v>
      </c>
      <c r="G361">
        <v>452</v>
      </c>
      <c r="H361">
        <v>803</v>
      </c>
      <c r="I361">
        <v>362956</v>
      </c>
      <c r="J361">
        <v>244083</v>
      </c>
      <c r="K361">
        <v>118873</v>
      </c>
      <c r="L361">
        <v>347602</v>
      </c>
      <c r="M361">
        <v>15354</v>
      </c>
      <c r="N361" t="s">
        <v>319</v>
      </c>
      <c r="O361" t="s">
        <v>331</v>
      </c>
    </row>
    <row r="362" spans="1:15" ht="15.75" customHeight="1" x14ac:dyDescent="0.2">
      <c r="A362" t="s">
        <v>407</v>
      </c>
      <c r="B362" t="s">
        <v>333</v>
      </c>
      <c r="C362" t="s">
        <v>383</v>
      </c>
      <c r="D362" t="s">
        <v>340</v>
      </c>
      <c r="E362" t="s">
        <v>71</v>
      </c>
      <c r="F362" t="s">
        <v>356</v>
      </c>
      <c r="G362">
        <v>196</v>
      </c>
      <c r="H362">
        <v>796</v>
      </c>
      <c r="I362">
        <v>156016</v>
      </c>
      <c r="J362">
        <v>82782</v>
      </c>
      <c r="K362">
        <v>73234</v>
      </c>
      <c r="L362">
        <v>157300</v>
      </c>
      <c r="M362">
        <v>-1284</v>
      </c>
      <c r="N362" t="s">
        <v>186</v>
      </c>
      <c r="O362" t="s">
        <v>326</v>
      </c>
    </row>
    <row r="363" spans="1:15" ht="15.75" customHeight="1" x14ac:dyDescent="0.2">
      <c r="A363" t="s">
        <v>402</v>
      </c>
      <c r="B363" t="s">
        <v>328</v>
      </c>
      <c r="C363" t="s">
        <v>359</v>
      </c>
      <c r="D363" t="s">
        <v>273</v>
      </c>
      <c r="E363" t="s">
        <v>325</v>
      </c>
      <c r="F363" t="s">
        <v>87</v>
      </c>
      <c r="G363">
        <v>77</v>
      </c>
      <c r="H363">
        <v>1907</v>
      </c>
      <c r="I363">
        <v>146839</v>
      </c>
      <c r="J363">
        <v>101117</v>
      </c>
      <c r="K363">
        <v>45722</v>
      </c>
      <c r="L363">
        <v>155585</v>
      </c>
      <c r="M363">
        <v>-8746</v>
      </c>
      <c r="N363" t="s">
        <v>319</v>
      </c>
      <c r="O363" t="s">
        <v>331</v>
      </c>
    </row>
    <row r="364" spans="1:15" ht="15.75" customHeight="1" x14ac:dyDescent="0.2">
      <c r="A364" t="s">
        <v>72</v>
      </c>
      <c r="B364" t="s">
        <v>333</v>
      </c>
      <c r="C364" t="s">
        <v>383</v>
      </c>
      <c r="D364" t="s">
        <v>355</v>
      </c>
      <c r="E364" t="s">
        <v>318</v>
      </c>
      <c r="F364" t="s">
        <v>87</v>
      </c>
      <c r="G364">
        <v>21</v>
      </c>
      <c r="H364">
        <v>788</v>
      </c>
      <c r="I364">
        <v>16548</v>
      </c>
      <c r="J364">
        <v>13309</v>
      </c>
      <c r="K364">
        <v>3239</v>
      </c>
      <c r="L364">
        <v>28520</v>
      </c>
      <c r="M364">
        <v>-11972</v>
      </c>
      <c r="N364" t="s">
        <v>186</v>
      </c>
      <c r="O364" t="s">
        <v>331</v>
      </c>
    </row>
    <row r="365" spans="1:15" ht="15.75" customHeight="1" x14ac:dyDescent="0.2">
      <c r="A365" t="s">
        <v>144</v>
      </c>
      <c r="B365" t="s">
        <v>333</v>
      </c>
      <c r="C365" t="s">
        <v>370</v>
      </c>
      <c r="D365" t="s">
        <v>308</v>
      </c>
      <c r="E365" t="s">
        <v>82</v>
      </c>
      <c r="F365" t="s">
        <v>199</v>
      </c>
      <c r="G365">
        <v>433</v>
      </c>
      <c r="H365">
        <v>664</v>
      </c>
      <c r="I365">
        <v>287512</v>
      </c>
      <c r="J365">
        <v>244156</v>
      </c>
      <c r="K365">
        <v>43356</v>
      </c>
      <c r="L365">
        <v>293219</v>
      </c>
      <c r="M365">
        <v>-5707</v>
      </c>
      <c r="N365" t="s">
        <v>322</v>
      </c>
      <c r="O365" t="s">
        <v>326</v>
      </c>
    </row>
    <row r="366" spans="1:15" ht="15.75" customHeight="1" x14ac:dyDescent="0.2">
      <c r="A366" t="s">
        <v>440</v>
      </c>
      <c r="B366" t="s">
        <v>333</v>
      </c>
      <c r="C366" t="s">
        <v>311</v>
      </c>
      <c r="D366" t="s">
        <v>223</v>
      </c>
      <c r="E366" t="s">
        <v>325</v>
      </c>
      <c r="F366" t="s">
        <v>356</v>
      </c>
      <c r="G366">
        <v>165</v>
      </c>
      <c r="H366">
        <v>365</v>
      </c>
      <c r="I366">
        <v>60225</v>
      </c>
      <c r="J366">
        <v>30574</v>
      </c>
      <c r="K366">
        <v>29651</v>
      </c>
      <c r="L366">
        <v>75487</v>
      </c>
      <c r="M366">
        <v>-15262</v>
      </c>
      <c r="N366" t="s">
        <v>319</v>
      </c>
      <c r="O366" t="s">
        <v>331</v>
      </c>
    </row>
    <row r="367" spans="1:15" ht="15.75" customHeight="1" x14ac:dyDescent="0.2">
      <c r="A367" t="s">
        <v>337</v>
      </c>
      <c r="B367" t="s">
        <v>271</v>
      </c>
      <c r="C367" t="s">
        <v>270</v>
      </c>
      <c r="D367" t="s">
        <v>95</v>
      </c>
      <c r="E367" t="s">
        <v>82</v>
      </c>
      <c r="F367" t="s">
        <v>356</v>
      </c>
      <c r="G367">
        <v>415</v>
      </c>
      <c r="H367">
        <v>1464</v>
      </c>
      <c r="I367">
        <v>607560</v>
      </c>
      <c r="J367">
        <v>319873</v>
      </c>
      <c r="K367">
        <v>287687</v>
      </c>
      <c r="L367">
        <v>599253</v>
      </c>
      <c r="M367">
        <v>8307</v>
      </c>
      <c r="N367" t="s">
        <v>341</v>
      </c>
      <c r="O367" t="s">
        <v>331</v>
      </c>
    </row>
    <row r="368" spans="1:15" ht="15.75" customHeight="1" x14ac:dyDescent="0.2">
      <c r="A368" t="s">
        <v>154</v>
      </c>
      <c r="B368" t="s">
        <v>333</v>
      </c>
      <c r="C368" t="s">
        <v>343</v>
      </c>
      <c r="D368" t="s">
        <v>324</v>
      </c>
      <c r="E368" t="s">
        <v>318</v>
      </c>
      <c r="F368" t="s">
        <v>306</v>
      </c>
      <c r="G368">
        <v>304</v>
      </c>
      <c r="H368">
        <v>1489</v>
      </c>
      <c r="I368">
        <v>452656</v>
      </c>
      <c r="J368">
        <v>273882</v>
      </c>
      <c r="K368">
        <v>178774</v>
      </c>
      <c r="L368">
        <v>456496</v>
      </c>
      <c r="M368">
        <v>-3840</v>
      </c>
      <c r="N368" t="s">
        <v>319</v>
      </c>
      <c r="O368" t="s">
        <v>326</v>
      </c>
    </row>
    <row r="369" spans="1:15" ht="15.75" customHeight="1" x14ac:dyDescent="0.2">
      <c r="A369" t="s">
        <v>157</v>
      </c>
      <c r="B369" t="s">
        <v>328</v>
      </c>
      <c r="C369" t="s">
        <v>367</v>
      </c>
      <c r="D369" t="s">
        <v>346</v>
      </c>
      <c r="E369" t="s">
        <v>318</v>
      </c>
      <c r="F369" t="s">
        <v>356</v>
      </c>
      <c r="G369">
        <v>73</v>
      </c>
      <c r="H369">
        <v>1981</v>
      </c>
      <c r="I369">
        <v>144613</v>
      </c>
      <c r="J369">
        <v>72967</v>
      </c>
      <c r="K369">
        <v>71646</v>
      </c>
      <c r="L369">
        <v>153129</v>
      </c>
      <c r="M369">
        <v>-8516</v>
      </c>
      <c r="N369" t="s">
        <v>322</v>
      </c>
      <c r="O369" t="s">
        <v>331</v>
      </c>
    </row>
    <row r="370" spans="1:15" ht="15.75" customHeight="1" x14ac:dyDescent="0.2">
      <c r="A370" t="s">
        <v>486</v>
      </c>
      <c r="B370" t="s">
        <v>333</v>
      </c>
      <c r="C370" t="s">
        <v>383</v>
      </c>
      <c r="D370" t="s">
        <v>346</v>
      </c>
      <c r="E370" t="s">
        <v>325</v>
      </c>
      <c r="F370" t="s">
        <v>306</v>
      </c>
      <c r="G370">
        <v>12</v>
      </c>
      <c r="H370">
        <v>1534</v>
      </c>
      <c r="I370">
        <v>18408</v>
      </c>
      <c r="J370">
        <v>13650</v>
      </c>
      <c r="K370">
        <v>4758</v>
      </c>
      <c r="L370">
        <v>34003</v>
      </c>
      <c r="M370">
        <v>-15595</v>
      </c>
      <c r="N370" t="s">
        <v>341</v>
      </c>
      <c r="O370" t="s">
        <v>320</v>
      </c>
    </row>
    <row r="371" spans="1:15" ht="15.75" customHeight="1" x14ac:dyDescent="0.2">
      <c r="A371" t="s">
        <v>358</v>
      </c>
      <c r="B371" t="s">
        <v>333</v>
      </c>
      <c r="C371" t="s">
        <v>311</v>
      </c>
      <c r="D371" t="s">
        <v>346</v>
      </c>
      <c r="E371" t="s">
        <v>325</v>
      </c>
      <c r="F371" t="s">
        <v>74</v>
      </c>
      <c r="G371">
        <v>389</v>
      </c>
      <c r="H371">
        <v>496</v>
      </c>
      <c r="I371">
        <v>192944</v>
      </c>
      <c r="J371">
        <v>123469</v>
      </c>
      <c r="K371">
        <v>69475</v>
      </c>
      <c r="L371">
        <v>193918</v>
      </c>
      <c r="M371">
        <v>-974</v>
      </c>
      <c r="N371" t="s">
        <v>319</v>
      </c>
      <c r="O371" t="s">
        <v>326</v>
      </c>
    </row>
    <row r="372" spans="1:15" ht="15.75" customHeight="1" x14ac:dyDescent="0.2">
      <c r="A372" t="s">
        <v>149</v>
      </c>
      <c r="B372" t="s">
        <v>333</v>
      </c>
      <c r="C372" t="s">
        <v>311</v>
      </c>
      <c r="D372" t="s">
        <v>360</v>
      </c>
      <c r="E372" t="s">
        <v>318</v>
      </c>
      <c r="F372" t="s">
        <v>199</v>
      </c>
      <c r="G372">
        <v>75</v>
      </c>
      <c r="H372">
        <v>835</v>
      </c>
      <c r="I372">
        <v>62625</v>
      </c>
      <c r="J372">
        <v>45052</v>
      </c>
      <c r="K372">
        <v>17573</v>
      </c>
      <c r="L372">
        <v>54400</v>
      </c>
      <c r="M372">
        <v>8225</v>
      </c>
      <c r="N372" t="s">
        <v>319</v>
      </c>
      <c r="O372" t="s">
        <v>331</v>
      </c>
    </row>
    <row r="373" spans="1:15" ht="15.75" customHeight="1" x14ac:dyDescent="0.2">
      <c r="A373" t="s">
        <v>72</v>
      </c>
      <c r="B373" t="s">
        <v>271</v>
      </c>
      <c r="C373" t="s">
        <v>309</v>
      </c>
      <c r="D373" t="s">
        <v>360</v>
      </c>
      <c r="E373" t="s">
        <v>318</v>
      </c>
      <c r="F373" t="s">
        <v>356</v>
      </c>
      <c r="G373">
        <v>200</v>
      </c>
      <c r="H373">
        <v>1563</v>
      </c>
      <c r="I373">
        <v>312600</v>
      </c>
      <c r="J373">
        <v>172486</v>
      </c>
      <c r="K373">
        <v>140114</v>
      </c>
      <c r="L373">
        <v>323745</v>
      </c>
      <c r="M373">
        <v>-11145</v>
      </c>
      <c r="N373" t="s">
        <v>341</v>
      </c>
      <c r="O373" t="s">
        <v>320</v>
      </c>
    </row>
    <row r="374" spans="1:15" ht="15.75" customHeight="1" x14ac:dyDescent="0.2">
      <c r="A374" t="s">
        <v>154</v>
      </c>
      <c r="B374" t="s">
        <v>333</v>
      </c>
      <c r="C374" t="s">
        <v>311</v>
      </c>
      <c r="D374" t="s">
        <v>355</v>
      </c>
      <c r="E374" t="s">
        <v>71</v>
      </c>
      <c r="F374" t="s">
        <v>74</v>
      </c>
      <c r="G374">
        <v>64</v>
      </c>
      <c r="H374">
        <v>956</v>
      </c>
      <c r="I374">
        <v>61184</v>
      </c>
      <c r="J374">
        <v>44841</v>
      </c>
      <c r="K374">
        <v>16343</v>
      </c>
      <c r="L374">
        <v>74906</v>
      </c>
      <c r="M374">
        <v>-13722</v>
      </c>
      <c r="N374" t="s">
        <v>319</v>
      </c>
      <c r="O374" t="s">
        <v>326</v>
      </c>
    </row>
    <row r="375" spans="1:15" ht="15.75" customHeight="1" x14ac:dyDescent="0.2">
      <c r="A375" t="s">
        <v>388</v>
      </c>
      <c r="B375" t="s">
        <v>271</v>
      </c>
      <c r="C375" t="s">
        <v>270</v>
      </c>
      <c r="D375" t="s">
        <v>308</v>
      </c>
      <c r="E375" t="s">
        <v>318</v>
      </c>
      <c r="F375" t="s">
        <v>199</v>
      </c>
      <c r="G375">
        <v>254</v>
      </c>
      <c r="H375">
        <v>1394</v>
      </c>
      <c r="I375">
        <v>354076</v>
      </c>
      <c r="J375">
        <v>286769</v>
      </c>
      <c r="K375">
        <v>67307</v>
      </c>
      <c r="L375">
        <v>346169</v>
      </c>
      <c r="M375">
        <v>7907</v>
      </c>
      <c r="N375" t="s">
        <v>186</v>
      </c>
      <c r="O375" t="s">
        <v>326</v>
      </c>
    </row>
    <row r="376" spans="1:15" ht="15.75" customHeight="1" x14ac:dyDescent="0.2">
      <c r="A376" t="s">
        <v>150</v>
      </c>
      <c r="B376" t="s">
        <v>328</v>
      </c>
      <c r="C376" t="s">
        <v>367</v>
      </c>
      <c r="D376" t="s">
        <v>84</v>
      </c>
      <c r="E376" t="s">
        <v>82</v>
      </c>
      <c r="F376" t="s">
        <v>87</v>
      </c>
      <c r="G376">
        <v>498</v>
      </c>
      <c r="H376">
        <v>293</v>
      </c>
      <c r="I376">
        <v>145914</v>
      </c>
      <c r="J376">
        <v>113228</v>
      </c>
      <c r="K376">
        <v>32686</v>
      </c>
      <c r="L376">
        <v>156434</v>
      </c>
      <c r="M376">
        <v>-10520</v>
      </c>
      <c r="N376" t="s">
        <v>186</v>
      </c>
      <c r="O376" t="s">
        <v>331</v>
      </c>
    </row>
    <row r="377" spans="1:15" ht="15.75" customHeight="1" x14ac:dyDescent="0.2">
      <c r="A377" t="s">
        <v>178</v>
      </c>
      <c r="B377" t="s">
        <v>333</v>
      </c>
      <c r="C377" t="s">
        <v>269</v>
      </c>
      <c r="D377" t="s">
        <v>360</v>
      </c>
      <c r="E377" t="s">
        <v>318</v>
      </c>
      <c r="F377" t="s">
        <v>70</v>
      </c>
      <c r="G377">
        <v>362</v>
      </c>
      <c r="H377">
        <v>1010</v>
      </c>
      <c r="I377">
        <v>365620</v>
      </c>
      <c r="J377">
        <v>264152</v>
      </c>
      <c r="K377">
        <v>101468</v>
      </c>
      <c r="L377">
        <v>379408</v>
      </c>
      <c r="M377">
        <v>-13788</v>
      </c>
      <c r="N377" t="s">
        <v>319</v>
      </c>
      <c r="O377" t="s">
        <v>331</v>
      </c>
    </row>
    <row r="378" spans="1:15" ht="15.75" customHeight="1" x14ac:dyDescent="0.2">
      <c r="A378" t="s">
        <v>159</v>
      </c>
      <c r="B378" t="s">
        <v>328</v>
      </c>
      <c r="C378" t="s">
        <v>359</v>
      </c>
      <c r="D378" t="s">
        <v>336</v>
      </c>
      <c r="E378" t="s">
        <v>325</v>
      </c>
      <c r="F378" t="s">
        <v>87</v>
      </c>
      <c r="G378">
        <v>439</v>
      </c>
      <c r="H378">
        <v>935</v>
      </c>
      <c r="I378">
        <v>410465</v>
      </c>
      <c r="J378">
        <v>310440</v>
      </c>
      <c r="K378">
        <v>100025</v>
      </c>
      <c r="L378">
        <v>421095</v>
      </c>
      <c r="M378">
        <v>-10630</v>
      </c>
      <c r="N378" t="s">
        <v>186</v>
      </c>
      <c r="O378" t="s">
        <v>326</v>
      </c>
    </row>
    <row r="379" spans="1:15" ht="15.75" customHeight="1" x14ac:dyDescent="0.2">
      <c r="A379" t="s">
        <v>453</v>
      </c>
      <c r="B379" t="s">
        <v>271</v>
      </c>
      <c r="C379" t="s">
        <v>272</v>
      </c>
      <c r="D379" t="s">
        <v>340</v>
      </c>
      <c r="E379" t="s">
        <v>71</v>
      </c>
      <c r="F379" t="s">
        <v>306</v>
      </c>
      <c r="G379">
        <v>250</v>
      </c>
      <c r="H379">
        <v>1357</v>
      </c>
      <c r="I379">
        <v>339250</v>
      </c>
      <c r="J379">
        <v>273696</v>
      </c>
      <c r="K379">
        <v>65554</v>
      </c>
      <c r="L379">
        <v>329315</v>
      </c>
      <c r="M379">
        <v>9935</v>
      </c>
      <c r="N379" t="s">
        <v>341</v>
      </c>
      <c r="O379" t="s">
        <v>189</v>
      </c>
    </row>
    <row r="380" spans="1:15" ht="15.75" customHeight="1" x14ac:dyDescent="0.2">
      <c r="A380" t="s">
        <v>477</v>
      </c>
      <c r="B380" t="s">
        <v>271</v>
      </c>
      <c r="C380" t="s">
        <v>309</v>
      </c>
      <c r="D380" t="s">
        <v>308</v>
      </c>
      <c r="E380" t="s">
        <v>71</v>
      </c>
      <c r="F380" t="s">
        <v>356</v>
      </c>
      <c r="G380">
        <v>355</v>
      </c>
      <c r="H380">
        <v>1522</v>
      </c>
      <c r="I380">
        <v>540310</v>
      </c>
      <c r="J380">
        <v>348531</v>
      </c>
      <c r="K380">
        <v>191779</v>
      </c>
      <c r="L380">
        <v>549742</v>
      </c>
      <c r="M380">
        <v>-9432</v>
      </c>
      <c r="N380" t="s">
        <v>186</v>
      </c>
      <c r="O380" t="s">
        <v>331</v>
      </c>
    </row>
    <row r="381" spans="1:15" ht="15.75" customHeight="1" x14ac:dyDescent="0.2">
      <c r="A381" t="s">
        <v>487</v>
      </c>
      <c r="B381" t="s">
        <v>271</v>
      </c>
      <c r="C381" t="s">
        <v>270</v>
      </c>
      <c r="D381" t="s">
        <v>355</v>
      </c>
      <c r="E381" t="s">
        <v>82</v>
      </c>
      <c r="F381" t="s">
        <v>81</v>
      </c>
      <c r="G381">
        <v>276</v>
      </c>
      <c r="H381">
        <v>947</v>
      </c>
      <c r="I381">
        <v>261372</v>
      </c>
      <c r="J381">
        <v>136222</v>
      </c>
      <c r="K381">
        <v>125150</v>
      </c>
      <c r="L381">
        <v>249929</v>
      </c>
      <c r="M381">
        <v>11443</v>
      </c>
      <c r="N381" t="s">
        <v>319</v>
      </c>
      <c r="O381" t="s">
        <v>189</v>
      </c>
    </row>
    <row r="382" spans="1:15" ht="15.75" customHeight="1" x14ac:dyDescent="0.2">
      <c r="A382" t="s">
        <v>488</v>
      </c>
      <c r="B382" t="s">
        <v>328</v>
      </c>
      <c r="C382" t="s">
        <v>367</v>
      </c>
      <c r="D382" t="s">
        <v>308</v>
      </c>
      <c r="E382" t="s">
        <v>318</v>
      </c>
      <c r="F382" t="s">
        <v>81</v>
      </c>
      <c r="G382">
        <v>440</v>
      </c>
      <c r="H382">
        <v>1378</v>
      </c>
      <c r="I382">
        <v>606320</v>
      </c>
      <c r="J382">
        <v>470432</v>
      </c>
      <c r="K382">
        <v>135888</v>
      </c>
      <c r="L382">
        <v>619989</v>
      </c>
      <c r="M382">
        <v>-13669</v>
      </c>
      <c r="N382" t="s">
        <v>186</v>
      </c>
      <c r="O382" t="s">
        <v>189</v>
      </c>
    </row>
    <row r="383" spans="1:15" ht="15.75" customHeight="1" x14ac:dyDescent="0.2">
      <c r="A383" t="s">
        <v>489</v>
      </c>
      <c r="B383" t="s">
        <v>333</v>
      </c>
      <c r="C383" t="s">
        <v>311</v>
      </c>
      <c r="D383" t="s">
        <v>355</v>
      </c>
      <c r="E383" t="s">
        <v>82</v>
      </c>
      <c r="F383" t="s">
        <v>306</v>
      </c>
      <c r="G383">
        <v>456</v>
      </c>
      <c r="H383">
        <v>1561</v>
      </c>
      <c r="I383">
        <v>711816</v>
      </c>
      <c r="J383">
        <v>562067</v>
      </c>
      <c r="K383">
        <v>149749</v>
      </c>
      <c r="L383">
        <v>715228</v>
      </c>
      <c r="M383">
        <v>-3412</v>
      </c>
      <c r="N383" t="s">
        <v>319</v>
      </c>
      <c r="O383" t="s">
        <v>189</v>
      </c>
    </row>
    <row r="384" spans="1:15" ht="15.75" customHeight="1" x14ac:dyDescent="0.2">
      <c r="A384" t="s">
        <v>480</v>
      </c>
      <c r="B384" t="s">
        <v>271</v>
      </c>
      <c r="C384" t="s">
        <v>309</v>
      </c>
      <c r="D384" t="s">
        <v>69</v>
      </c>
      <c r="E384" t="s">
        <v>71</v>
      </c>
      <c r="F384" t="s">
        <v>306</v>
      </c>
      <c r="G384">
        <v>306</v>
      </c>
      <c r="H384">
        <v>611</v>
      </c>
      <c r="I384">
        <v>186966</v>
      </c>
      <c r="J384">
        <v>151530</v>
      </c>
      <c r="K384">
        <v>35436</v>
      </c>
      <c r="L384">
        <v>168282</v>
      </c>
      <c r="M384">
        <v>18684</v>
      </c>
      <c r="N384" t="s">
        <v>322</v>
      </c>
      <c r="O384" t="s">
        <v>326</v>
      </c>
    </row>
    <row r="385" spans="1:15" ht="15.75" customHeight="1" x14ac:dyDescent="0.2">
      <c r="A385" t="s">
        <v>99</v>
      </c>
      <c r="B385" t="s">
        <v>338</v>
      </c>
      <c r="C385" t="s">
        <v>345</v>
      </c>
      <c r="D385" t="s">
        <v>95</v>
      </c>
      <c r="E385" t="s">
        <v>71</v>
      </c>
      <c r="F385" t="s">
        <v>70</v>
      </c>
      <c r="G385">
        <v>384</v>
      </c>
      <c r="H385">
        <v>1176</v>
      </c>
      <c r="I385">
        <v>451584</v>
      </c>
      <c r="J385">
        <v>351316</v>
      </c>
      <c r="K385">
        <v>100268</v>
      </c>
      <c r="L385">
        <v>454037</v>
      </c>
      <c r="M385">
        <v>-2453</v>
      </c>
      <c r="N385" t="s">
        <v>186</v>
      </c>
      <c r="O385" t="s">
        <v>326</v>
      </c>
    </row>
    <row r="386" spans="1:15" ht="15.75" customHeight="1" x14ac:dyDescent="0.2">
      <c r="A386" t="s">
        <v>142</v>
      </c>
      <c r="B386" t="s">
        <v>338</v>
      </c>
      <c r="C386" t="s">
        <v>345</v>
      </c>
      <c r="D386" t="s">
        <v>371</v>
      </c>
      <c r="E386" t="s">
        <v>325</v>
      </c>
      <c r="F386" t="s">
        <v>81</v>
      </c>
      <c r="G386">
        <v>64</v>
      </c>
      <c r="H386">
        <v>280</v>
      </c>
      <c r="I386">
        <v>17920</v>
      </c>
      <c r="J386">
        <v>11702</v>
      </c>
      <c r="K386">
        <v>6218</v>
      </c>
      <c r="L386">
        <v>20816</v>
      </c>
      <c r="M386">
        <v>-2896</v>
      </c>
      <c r="N386" t="s">
        <v>341</v>
      </c>
      <c r="O386" t="s">
        <v>331</v>
      </c>
    </row>
    <row r="387" spans="1:15" ht="15.75" customHeight="1" x14ac:dyDescent="0.2">
      <c r="A387" t="s">
        <v>473</v>
      </c>
      <c r="B387" t="s">
        <v>263</v>
      </c>
      <c r="C387" t="s">
        <v>264</v>
      </c>
      <c r="D387" t="s">
        <v>77</v>
      </c>
      <c r="E387" t="s">
        <v>325</v>
      </c>
      <c r="F387" t="s">
        <v>92</v>
      </c>
      <c r="G387">
        <v>94</v>
      </c>
      <c r="H387">
        <v>1819</v>
      </c>
      <c r="I387">
        <v>170986</v>
      </c>
      <c r="J387">
        <v>102375</v>
      </c>
      <c r="K387">
        <v>68611</v>
      </c>
      <c r="L387">
        <v>180404</v>
      </c>
      <c r="M387">
        <v>-9418</v>
      </c>
      <c r="N387" t="s">
        <v>322</v>
      </c>
      <c r="O387" t="s">
        <v>331</v>
      </c>
    </row>
    <row r="388" spans="1:15" ht="15.75" customHeight="1" x14ac:dyDescent="0.2">
      <c r="A388" t="s">
        <v>394</v>
      </c>
      <c r="B388" t="s">
        <v>263</v>
      </c>
      <c r="C388" t="s">
        <v>280</v>
      </c>
      <c r="D388" t="s">
        <v>307</v>
      </c>
      <c r="E388" t="s">
        <v>71</v>
      </c>
      <c r="F388" t="s">
        <v>81</v>
      </c>
      <c r="G388">
        <v>331</v>
      </c>
      <c r="H388">
        <v>1372</v>
      </c>
      <c r="I388">
        <v>454132</v>
      </c>
      <c r="J388">
        <v>281657</v>
      </c>
      <c r="K388">
        <v>172475</v>
      </c>
      <c r="L388">
        <v>434638</v>
      </c>
      <c r="M388">
        <v>19494</v>
      </c>
      <c r="N388" t="s">
        <v>319</v>
      </c>
      <c r="O388" t="s">
        <v>326</v>
      </c>
    </row>
    <row r="389" spans="1:15" ht="15.75" customHeight="1" x14ac:dyDescent="0.2">
      <c r="A389" t="s">
        <v>427</v>
      </c>
      <c r="B389" t="s">
        <v>263</v>
      </c>
      <c r="C389" t="s">
        <v>347</v>
      </c>
      <c r="D389" t="s">
        <v>69</v>
      </c>
      <c r="E389" t="s">
        <v>71</v>
      </c>
      <c r="F389" t="s">
        <v>70</v>
      </c>
      <c r="G389">
        <v>134</v>
      </c>
      <c r="H389">
        <v>679</v>
      </c>
      <c r="I389">
        <v>90986</v>
      </c>
      <c r="J389">
        <v>46231</v>
      </c>
      <c r="K389">
        <v>44755</v>
      </c>
      <c r="L389">
        <v>99700</v>
      </c>
      <c r="M389">
        <v>-8714</v>
      </c>
      <c r="N389" t="s">
        <v>319</v>
      </c>
      <c r="O389" t="s">
        <v>320</v>
      </c>
    </row>
    <row r="390" spans="1:15" ht="15.75" customHeight="1" x14ac:dyDescent="0.2">
      <c r="A390" t="s">
        <v>490</v>
      </c>
      <c r="B390" t="s">
        <v>333</v>
      </c>
      <c r="C390" t="s">
        <v>343</v>
      </c>
      <c r="D390" t="s">
        <v>308</v>
      </c>
      <c r="E390" t="s">
        <v>318</v>
      </c>
      <c r="F390" t="s">
        <v>81</v>
      </c>
      <c r="G390">
        <v>118</v>
      </c>
      <c r="H390">
        <v>543</v>
      </c>
      <c r="I390">
        <v>64074</v>
      </c>
      <c r="J390">
        <v>45769</v>
      </c>
      <c r="K390">
        <v>18305</v>
      </c>
      <c r="L390">
        <v>70702</v>
      </c>
      <c r="M390">
        <v>-6628</v>
      </c>
      <c r="N390" t="s">
        <v>341</v>
      </c>
      <c r="O390" t="s">
        <v>331</v>
      </c>
    </row>
    <row r="391" spans="1:15" ht="15.75" customHeight="1" x14ac:dyDescent="0.2">
      <c r="A391" t="s">
        <v>464</v>
      </c>
      <c r="B391" t="s">
        <v>263</v>
      </c>
      <c r="C391" t="s">
        <v>347</v>
      </c>
      <c r="D391" t="s">
        <v>340</v>
      </c>
      <c r="E391" t="s">
        <v>325</v>
      </c>
      <c r="F391" t="s">
        <v>92</v>
      </c>
      <c r="G391">
        <v>32</v>
      </c>
      <c r="H391">
        <v>1165</v>
      </c>
      <c r="I391">
        <v>37280</v>
      </c>
      <c r="J391">
        <v>28325</v>
      </c>
      <c r="K391">
        <v>8955</v>
      </c>
      <c r="L391">
        <v>43937</v>
      </c>
      <c r="M391">
        <v>-6657</v>
      </c>
      <c r="N391" t="s">
        <v>322</v>
      </c>
      <c r="O391" t="s">
        <v>320</v>
      </c>
    </row>
    <row r="392" spans="1:15" ht="15.75" customHeight="1" x14ac:dyDescent="0.2">
      <c r="A392" t="s">
        <v>365</v>
      </c>
      <c r="B392" t="s">
        <v>263</v>
      </c>
      <c r="C392" t="s">
        <v>276</v>
      </c>
      <c r="D392" t="s">
        <v>324</v>
      </c>
      <c r="E392" t="s">
        <v>318</v>
      </c>
      <c r="F392" t="s">
        <v>87</v>
      </c>
      <c r="G392">
        <v>10</v>
      </c>
      <c r="H392">
        <v>810</v>
      </c>
      <c r="I392">
        <v>8100</v>
      </c>
      <c r="J392">
        <v>5076</v>
      </c>
      <c r="K392">
        <v>3024</v>
      </c>
      <c r="L392">
        <v>44</v>
      </c>
      <c r="M392">
        <v>8056</v>
      </c>
      <c r="N392" t="s">
        <v>319</v>
      </c>
      <c r="O392" t="s">
        <v>326</v>
      </c>
    </row>
    <row r="393" spans="1:15" ht="15.75" customHeight="1" x14ac:dyDescent="0.2">
      <c r="A393" t="s">
        <v>206</v>
      </c>
      <c r="B393" t="s">
        <v>271</v>
      </c>
      <c r="C393" t="s">
        <v>270</v>
      </c>
      <c r="D393" t="s">
        <v>95</v>
      </c>
      <c r="E393" t="s">
        <v>71</v>
      </c>
      <c r="F393" t="s">
        <v>70</v>
      </c>
      <c r="G393">
        <v>486</v>
      </c>
      <c r="H393">
        <v>1095</v>
      </c>
      <c r="I393">
        <v>532170</v>
      </c>
      <c r="J393">
        <v>450986</v>
      </c>
      <c r="K393">
        <v>81184</v>
      </c>
      <c r="L393">
        <v>537109</v>
      </c>
      <c r="M393">
        <v>-4939</v>
      </c>
      <c r="N393" t="s">
        <v>186</v>
      </c>
      <c r="O393" t="s">
        <v>320</v>
      </c>
    </row>
    <row r="394" spans="1:15" ht="15.75" customHeight="1" x14ac:dyDescent="0.2">
      <c r="A394" t="s">
        <v>247</v>
      </c>
      <c r="B394" t="s">
        <v>338</v>
      </c>
      <c r="C394" t="s">
        <v>345</v>
      </c>
      <c r="D394" t="s">
        <v>317</v>
      </c>
      <c r="E394" t="s">
        <v>318</v>
      </c>
      <c r="F394" t="s">
        <v>306</v>
      </c>
      <c r="G394">
        <v>331</v>
      </c>
      <c r="H394">
        <v>1025</v>
      </c>
      <c r="I394">
        <v>339275</v>
      </c>
      <c r="J394">
        <v>251545</v>
      </c>
      <c r="K394">
        <v>87730</v>
      </c>
      <c r="L394">
        <v>321925</v>
      </c>
      <c r="M394">
        <v>17350</v>
      </c>
      <c r="N394" t="s">
        <v>322</v>
      </c>
      <c r="O394" t="s">
        <v>320</v>
      </c>
    </row>
    <row r="395" spans="1:15" ht="15.75" customHeight="1" x14ac:dyDescent="0.2">
      <c r="A395" t="s">
        <v>361</v>
      </c>
      <c r="B395" t="s">
        <v>328</v>
      </c>
      <c r="C395" t="s">
        <v>283</v>
      </c>
      <c r="D395" t="s">
        <v>335</v>
      </c>
      <c r="E395" t="s">
        <v>82</v>
      </c>
      <c r="F395" t="s">
        <v>87</v>
      </c>
      <c r="G395">
        <v>341</v>
      </c>
      <c r="H395">
        <v>826</v>
      </c>
      <c r="I395">
        <v>281666</v>
      </c>
      <c r="J395">
        <v>157758</v>
      </c>
      <c r="K395">
        <v>123908</v>
      </c>
      <c r="L395">
        <v>270963</v>
      </c>
      <c r="M395">
        <v>10703</v>
      </c>
      <c r="N395" t="s">
        <v>319</v>
      </c>
      <c r="O395" t="s">
        <v>331</v>
      </c>
    </row>
    <row r="396" spans="1:15" ht="15.75" customHeight="1" x14ac:dyDescent="0.2">
      <c r="A396" t="s">
        <v>439</v>
      </c>
      <c r="B396" t="s">
        <v>338</v>
      </c>
      <c r="C396" t="s">
        <v>348</v>
      </c>
      <c r="D396" t="s">
        <v>307</v>
      </c>
      <c r="E396" t="s">
        <v>82</v>
      </c>
      <c r="F396" t="s">
        <v>70</v>
      </c>
      <c r="G396">
        <v>183</v>
      </c>
      <c r="H396">
        <v>1590</v>
      </c>
      <c r="I396">
        <v>290970</v>
      </c>
      <c r="J396">
        <v>154661</v>
      </c>
      <c r="K396">
        <v>136309</v>
      </c>
      <c r="L396">
        <v>306782</v>
      </c>
      <c r="M396">
        <v>-15812</v>
      </c>
      <c r="N396" t="s">
        <v>341</v>
      </c>
      <c r="O396" t="s">
        <v>331</v>
      </c>
    </row>
    <row r="397" spans="1:15" ht="15.75" customHeight="1" x14ac:dyDescent="0.2">
      <c r="A397" t="s">
        <v>111</v>
      </c>
      <c r="B397" t="s">
        <v>333</v>
      </c>
      <c r="C397" t="s">
        <v>383</v>
      </c>
      <c r="D397" t="s">
        <v>273</v>
      </c>
      <c r="E397" t="s">
        <v>71</v>
      </c>
      <c r="F397" t="s">
        <v>356</v>
      </c>
      <c r="G397">
        <v>278</v>
      </c>
      <c r="H397">
        <v>1376</v>
      </c>
      <c r="I397">
        <v>382528</v>
      </c>
      <c r="J397">
        <v>302819</v>
      </c>
      <c r="K397">
        <v>79709</v>
      </c>
      <c r="L397">
        <v>370673</v>
      </c>
      <c r="M397">
        <v>11855</v>
      </c>
      <c r="N397" t="s">
        <v>319</v>
      </c>
      <c r="O397" t="s">
        <v>189</v>
      </c>
    </row>
    <row r="398" spans="1:15" ht="15.75" customHeight="1" x14ac:dyDescent="0.2">
      <c r="A398" t="s">
        <v>419</v>
      </c>
      <c r="B398" t="s">
        <v>338</v>
      </c>
      <c r="C398" t="s">
        <v>339</v>
      </c>
      <c r="D398" t="s">
        <v>317</v>
      </c>
      <c r="E398" t="s">
        <v>71</v>
      </c>
      <c r="F398" t="s">
        <v>74</v>
      </c>
      <c r="G398">
        <v>359</v>
      </c>
      <c r="H398">
        <v>572</v>
      </c>
      <c r="I398">
        <v>205348</v>
      </c>
      <c r="J398">
        <v>139098</v>
      </c>
      <c r="K398">
        <v>66250</v>
      </c>
      <c r="L398">
        <v>213585</v>
      </c>
      <c r="M398">
        <v>-8237</v>
      </c>
      <c r="N398" t="s">
        <v>319</v>
      </c>
      <c r="O398" t="s">
        <v>320</v>
      </c>
    </row>
    <row r="399" spans="1:15" ht="15.75" customHeight="1" x14ac:dyDescent="0.2">
      <c r="A399" t="s">
        <v>253</v>
      </c>
      <c r="B399" t="s">
        <v>263</v>
      </c>
      <c r="C399" t="s">
        <v>264</v>
      </c>
      <c r="D399" t="s">
        <v>391</v>
      </c>
      <c r="E399" t="s">
        <v>82</v>
      </c>
      <c r="F399" t="s">
        <v>306</v>
      </c>
      <c r="G399">
        <v>272</v>
      </c>
      <c r="H399">
        <v>1032</v>
      </c>
      <c r="I399">
        <v>280704</v>
      </c>
      <c r="J399">
        <v>186690</v>
      </c>
      <c r="K399">
        <v>94014</v>
      </c>
      <c r="L399">
        <v>293486</v>
      </c>
      <c r="M399">
        <v>-12782</v>
      </c>
      <c r="N399" t="s">
        <v>186</v>
      </c>
      <c r="O399" t="s">
        <v>189</v>
      </c>
    </row>
    <row r="400" spans="1:15" ht="15.75" customHeight="1" x14ac:dyDescent="0.2">
      <c r="A400" t="s">
        <v>102</v>
      </c>
      <c r="B400" t="s">
        <v>263</v>
      </c>
      <c r="C400" t="s">
        <v>354</v>
      </c>
      <c r="D400" t="s">
        <v>360</v>
      </c>
      <c r="E400" t="s">
        <v>82</v>
      </c>
      <c r="F400" t="s">
        <v>356</v>
      </c>
      <c r="G400">
        <v>59</v>
      </c>
      <c r="H400">
        <v>903</v>
      </c>
      <c r="I400">
        <v>53277</v>
      </c>
      <c r="J400">
        <v>27851</v>
      </c>
      <c r="K400">
        <v>25426</v>
      </c>
      <c r="L400">
        <v>33444</v>
      </c>
      <c r="M400">
        <v>19833</v>
      </c>
      <c r="N400" t="s">
        <v>322</v>
      </c>
      <c r="O400" t="s">
        <v>189</v>
      </c>
    </row>
    <row r="401" spans="1:15" ht="15.75" customHeight="1" x14ac:dyDescent="0.2">
      <c r="A401" t="s">
        <v>470</v>
      </c>
      <c r="B401" t="s">
        <v>271</v>
      </c>
      <c r="C401" t="s">
        <v>309</v>
      </c>
      <c r="D401" t="s">
        <v>330</v>
      </c>
      <c r="E401" t="s">
        <v>325</v>
      </c>
      <c r="F401" t="s">
        <v>70</v>
      </c>
      <c r="G401">
        <v>403</v>
      </c>
      <c r="H401">
        <v>1124</v>
      </c>
      <c r="I401">
        <v>452972</v>
      </c>
      <c r="J401">
        <v>360344</v>
      </c>
      <c r="K401">
        <v>92628</v>
      </c>
      <c r="L401">
        <v>452482</v>
      </c>
      <c r="M401">
        <v>490</v>
      </c>
      <c r="N401" t="s">
        <v>186</v>
      </c>
      <c r="O401" t="s">
        <v>326</v>
      </c>
    </row>
    <row r="402" spans="1:15" ht="15.75" customHeight="1" x14ac:dyDescent="0.2">
      <c r="A402" t="s">
        <v>491</v>
      </c>
      <c r="B402" t="s">
        <v>271</v>
      </c>
      <c r="C402" t="s">
        <v>270</v>
      </c>
      <c r="D402" t="s">
        <v>391</v>
      </c>
      <c r="E402" t="s">
        <v>71</v>
      </c>
      <c r="F402" t="s">
        <v>74</v>
      </c>
      <c r="G402">
        <v>19</v>
      </c>
      <c r="H402">
        <v>1987</v>
      </c>
      <c r="I402">
        <v>37753</v>
      </c>
      <c r="J402">
        <v>28398</v>
      </c>
      <c r="K402">
        <v>9355</v>
      </c>
      <c r="L402">
        <v>43871</v>
      </c>
      <c r="M402">
        <v>-6118</v>
      </c>
      <c r="N402" t="s">
        <v>186</v>
      </c>
      <c r="O402" t="s">
        <v>189</v>
      </c>
    </row>
    <row r="403" spans="1:15" ht="15.75" customHeight="1" x14ac:dyDescent="0.2">
      <c r="A403" t="s">
        <v>455</v>
      </c>
      <c r="B403" t="s">
        <v>328</v>
      </c>
      <c r="C403" t="s">
        <v>329</v>
      </c>
      <c r="D403" t="s">
        <v>77</v>
      </c>
      <c r="E403" t="s">
        <v>82</v>
      </c>
      <c r="F403" t="s">
        <v>199</v>
      </c>
      <c r="G403">
        <v>215</v>
      </c>
      <c r="H403">
        <v>413</v>
      </c>
      <c r="I403">
        <v>88795</v>
      </c>
      <c r="J403">
        <v>72316</v>
      </c>
      <c r="K403">
        <v>16479</v>
      </c>
      <c r="L403">
        <v>75307</v>
      </c>
      <c r="M403">
        <v>13488</v>
      </c>
      <c r="N403" t="s">
        <v>186</v>
      </c>
      <c r="O403" t="s">
        <v>189</v>
      </c>
    </row>
    <row r="404" spans="1:15" ht="15.75" customHeight="1" x14ac:dyDescent="0.2">
      <c r="A404" t="s">
        <v>412</v>
      </c>
      <c r="B404" t="s">
        <v>333</v>
      </c>
      <c r="C404" t="s">
        <v>265</v>
      </c>
      <c r="D404" t="s">
        <v>360</v>
      </c>
      <c r="E404" t="s">
        <v>325</v>
      </c>
      <c r="F404" t="s">
        <v>87</v>
      </c>
      <c r="G404">
        <v>12</v>
      </c>
      <c r="H404">
        <v>655</v>
      </c>
      <c r="I404">
        <v>7860</v>
      </c>
      <c r="J404">
        <v>4082</v>
      </c>
      <c r="K404">
        <v>3778</v>
      </c>
      <c r="L404">
        <v>22371</v>
      </c>
      <c r="M404">
        <v>-14511</v>
      </c>
      <c r="N404" t="s">
        <v>319</v>
      </c>
      <c r="O404" t="s">
        <v>189</v>
      </c>
    </row>
    <row r="405" spans="1:15" ht="15.75" customHeight="1" x14ac:dyDescent="0.2">
      <c r="A405" t="s">
        <v>174</v>
      </c>
      <c r="B405" t="s">
        <v>333</v>
      </c>
      <c r="C405" t="s">
        <v>269</v>
      </c>
      <c r="D405" t="s">
        <v>340</v>
      </c>
      <c r="E405" t="s">
        <v>71</v>
      </c>
      <c r="F405" t="s">
        <v>92</v>
      </c>
      <c r="G405">
        <v>183</v>
      </c>
      <c r="H405">
        <v>574</v>
      </c>
      <c r="I405">
        <v>105042</v>
      </c>
      <c r="J405">
        <v>55468</v>
      </c>
      <c r="K405">
        <v>49574</v>
      </c>
      <c r="L405">
        <v>91833</v>
      </c>
      <c r="M405">
        <v>13209</v>
      </c>
      <c r="N405" t="s">
        <v>341</v>
      </c>
      <c r="O405" t="s">
        <v>189</v>
      </c>
    </row>
    <row r="406" spans="1:15" ht="15.75" customHeight="1" x14ac:dyDescent="0.2">
      <c r="A406" t="s">
        <v>492</v>
      </c>
      <c r="B406" t="s">
        <v>263</v>
      </c>
      <c r="C406" t="s">
        <v>276</v>
      </c>
      <c r="D406" t="s">
        <v>330</v>
      </c>
      <c r="E406" t="s">
        <v>318</v>
      </c>
      <c r="F406" t="s">
        <v>306</v>
      </c>
      <c r="G406">
        <v>461</v>
      </c>
      <c r="H406">
        <v>587</v>
      </c>
      <c r="I406">
        <v>270607</v>
      </c>
      <c r="J406">
        <v>183853</v>
      </c>
      <c r="K406">
        <v>86754</v>
      </c>
      <c r="L406">
        <v>277302</v>
      </c>
      <c r="M406">
        <v>-6695</v>
      </c>
      <c r="N406" t="s">
        <v>341</v>
      </c>
      <c r="O406" t="s">
        <v>189</v>
      </c>
    </row>
    <row r="407" spans="1:15" ht="15.75" customHeight="1" x14ac:dyDescent="0.2">
      <c r="A407" t="s">
        <v>133</v>
      </c>
      <c r="B407" t="s">
        <v>263</v>
      </c>
      <c r="C407" t="s">
        <v>354</v>
      </c>
      <c r="D407" t="s">
        <v>69</v>
      </c>
      <c r="E407" t="s">
        <v>325</v>
      </c>
      <c r="F407" t="s">
        <v>92</v>
      </c>
      <c r="G407">
        <v>423</v>
      </c>
      <c r="H407">
        <v>1397</v>
      </c>
      <c r="I407">
        <v>590931</v>
      </c>
      <c r="J407">
        <v>332103</v>
      </c>
      <c r="K407">
        <v>258828</v>
      </c>
      <c r="L407">
        <v>597015</v>
      </c>
      <c r="M407">
        <v>-6084</v>
      </c>
      <c r="N407" t="s">
        <v>186</v>
      </c>
      <c r="O407" t="s">
        <v>320</v>
      </c>
    </row>
    <row r="408" spans="1:15" ht="15.75" customHeight="1" x14ac:dyDescent="0.2">
      <c r="A408" t="s">
        <v>123</v>
      </c>
      <c r="B408" t="s">
        <v>271</v>
      </c>
      <c r="C408" t="s">
        <v>272</v>
      </c>
      <c r="D408" t="s">
        <v>84</v>
      </c>
      <c r="E408" t="s">
        <v>71</v>
      </c>
      <c r="F408" t="s">
        <v>81</v>
      </c>
      <c r="G408">
        <v>396</v>
      </c>
      <c r="H408">
        <v>192</v>
      </c>
      <c r="I408">
        <v>76032</v>
      </c>
      <c r="J408">
        <v>48371</v>
      </c>
      <c r="K408">
        <v>27661</v>
      </c>
      <c r="L408">
        <v>81799</v>
      </c>
      <c r="M408">
        <v>-5767</v>
      </c>
      <c r="N408" t="s">
        <v>186</v>
      </c>
      <c r="O408" t="s">
        <v>320</v>
      </c>
    </row>
    <row r="409" spans="1:15" ht="15.75" customHeight="1" x14ac:dyDescent="0.2">
      <c r="A409" t="s">
        <v>115</v>
      </c>
      <c r="B409" t="s">
        <v>263</v>
      </c>
      <c r="C409" t="s">
        <v>280</v>
      </c>
      <c r="D409" t="s">
        <v>371</v>
      </c>
      <c r="E409" t="s">
        <v>82</v>
      </c>
      <c r="F409" t="s">
        <v>70</v>
      </c>
      <c r="G409">
        <v>184</v>
      </c>
      <c r="H409">
        <v>1412</v>
      </c>
      <c r="I409">
        <v>259808</v>
      </c>
      <c r="J409">
        <v>196321</v>
      </c>
      <c r="K409">
        <v>63487</v>
      </c>
      <c r="L409">
        <v>279245</v>
      </c>
      <c r="M409">
        <v>-19437</v>
      </c>
      <c r="N409" t="s">
        <v>319</v>
      </c>
      <c r="O409" t="s">
        <v>326</v>
      </c>
    </row>
    <row r="410" spans="1:15" ht="15.75" customHeight="1" x14ac:dyDescent="0.2">
      <c r="A410" t="s">
        <v>493</v>
      </c>
      <c r="B410" t="s">
        <v>328</v>
      </c>
      <c r="C410" t="s">
        <v>367</v>
      </c>
      <c r="D410" t="s">
        <v>324</v>
      </c>
      <c r="E410" t="s">
        <v>82</v>
      </c>
      <c r="F410" t="s">
        <v>81</v>
      </c>
      <c r="G410">
        <v>37</v>
      </c>
      <c r="H410">
        <v>1540</v>
      </c>
      <c r="I410">
        <v>56980</v>
      </c>
      <c r="J410">
        <v>41927</v>
      </c>
      <c r="K410">
        <v>15053</v>
      </c>
      <c r="L410">
        <v>49939</v>
      </c>
      <c r="M410">
        <v>7041</v>
      </c>
      <c r="N410" t="s">
        <v>341</v>
      </c>
      <c r="O410" t="s">
        <v>189</v>
      </c>
    </row>
    <row r="411" spans="1:15" ht="15.75" customHeight="1" x14ac:dyDescent="0.2">
      <c r="A411" t="s">
        <v>135</v>
      </c>
      <c r="B411" t="s">
        <v>263</v>
      </c>
      <c r="C411" t="s">
        <v>276</v>
      </c>
      <c r="D411" t="s">
        <v>73</v>
      </c>
      <c r="E411" t="s">
        <v>325</v>
      </c>
      <c r="F411" t="s">
        <v>70</v>
      </c>
      <c r="G411">
        <v>458</v>
      </c>
      <c r="H411">
        <v>420</v>
      </c>
      <c r="I411">
        <v>192360</v>
      </c>
      <c r="J411">
        <v>154982</v>
      </c>
      <c r="K411">
        <v>37378</v>
      </c>
      <c r="L411">
        <v>210286</v>
      </c>
      <c r="M411">
        <v>-17926</v>
      </c>
      <c r="N411" t="s">
        <v>322</v>
      </c>
      <c r="O411" t="s">
        <v>320</v>
      </c>
    </row>
    <row r="412" spans="1:15" ht="15.75" customHeight="1" x14ac:dyDescent="0.2">
      <c r="A412" t="s">
        <v>494</v>
      </c>
      <c r="B412" t="s">
        <v>271</v>
      </c>
      <c r="C412" t="s">
        <v>309</v>
      </c>
      <c r="D412" t="s">
        <v>371</v>
      </c>
      <c r="E412" t="s">
        <v>71</v>
      </c>
      <c r="F412" t="s">
        <v>356</v>
      </c>
      <c r="G412">
        <v>20</v>
      </c>
      <c r="H412">
        <v>449</v>
      </c>
      <c r="I412">
        <v>8980</v>
      </c>
      <c r="J412">
        <v>4974</v>
      </c>
      <c r="K412">
        <v>4006</v>
      </c>
      <c r="L412">
        <v>6059</v>
      </c>
      <c r="M412">
        <v>2921</v>
      </c>
      <c r="N412" t="s">
        <v>186</v>
      </c>
      <c r="O412" t="s">
        <v>320</v>
      </c>
    </row>
    <row r="413" spans="1:15" ht="15.75" customHeight="1" x14ac:dyDescent="0.2">
      <c r="A413" t="s">
        <v>495</v>
      </c>
      <c r="B413" t="s">
        <v>328</v>
      </c>
      <c r="C413" t="s">
        <v>329</v>
      </c>
      <c r="D413" t="s">
        <v>84</v>
      </c>
      <c r="E413" t="s">
        <v>318</v>
      </c>
      <c r="F413" t="s">
        <v>87</v>
      </c>
      <c r="G413">
        <v>116</v>
      </c>
      <c r="H413">
        <v>971</v>
      </c>
      <c r="I413">
        <v>112636</v>
      </c>
      <c r="J413">
        <v>72208</v>
      </c>
      <c r="K413">
        <v>40428</v>
      </c>
      <c r="L413">
        <v>104058</v>
      </c>
      <c r="M413">
        <v>8578</v>
      </c>
      <c r="N413" t="s">
        <v>319</v>
      </c>
      <c r="O413" t="s">
        <v>331</v>
      </c>
    </row>
    <row r="414" spans="1:15" ht="15.75" customHeight="1" x14ac:dyDescent="0.2">
      <c r="A414" t="s">
        <v>287</v>
      </c>
      <c r="B414" t="s">
        <v>328</v>
      </c>
      <c r="C414" t="s">
        <v>329</v>
      </c>
      <c r="D414" t="s">
        <v>360</v>
      </c>
      <c r="E414" t="s">
        <v>325</v>
      </c>
      <c r="F414" t="s">
        <v>70</v>
      </c>
      <c r="G414">
        <v>429</v>
      </c>
      <c r="H414">
        <v>1954</v>
      </c>
      <c r="I414">
        <v>838266</v>
      </c>
      <c r="J414">
        <v>654171</v>
      </c>
      <c r="K414">
        <v>184095</v>
      </c>
      <c r="L414">
        <v>837898</v>
      </c>
      <c r="M414">
        <v>368</v>
      </c>
      <c r="N414" t="s">
        <v>319</v>
      </c>
      <c r="O414" t="s">
        <v>189</v>
      </c>
    </row>
    <row r="415" spans="1:15" ht="15.75" customHeight="1" x14ac:dyDescent="0.2">
      <c r="A415" t="s">
        <v>353</v>
      </c>
      <c r="B415" t="s">
        <v>333</v>
      </c>
      <c r="C415" t="s">
        <v>343</v>
      </c>
      <c r="D415" t="s">
        <v>336</v>
      </c>
      <c r="E415" t="s">
        <v>71</v>
      </c>
      <c r="F415" t="s">
        <v>70</v>
      </c>
      <c r="G415">
        <v>217</v>
      </c>
      <c r="H415">
        <v>1328</v>
      </c>
      <c r="I415">
        <v>288176</v>
      </c>
      <c r="J415">
        <v>243110</v>
      </c>
      <c r="K415">
        <v>45066</v>
      </c>
      <c r="L415">
        <v>305825</v>
      </c>
      <c r="M415">
        <v>-17649</v>
      </c>
      <c r="N415" t="s">
        <v>341</v>
      </c>
      <c r="O415" t="s">
        <v>331</v>
      </c>
    </row>
    <row r="416" spans="1:15" ht="15.75" customHeight="1" x14ac:dyDescent="0.2">
      <c r="A416" t="s">
        <v>398</v>
      </c>
      <c r="B416" t="s">
        <v>328</v>
      </c>
      <c r="C416" t="s">
        <v>329</v>
      </c>
      <c r="D416" t="s">
        <v>84</v>
      </c>
      <c r="E416" t="s">
        <v>82</v>
      </c>
      <c r="F416" t="s">
        <v>306</v>
      </c>
      <c r="G416">
        <v>116</v>
      </c>
      <c r="H416">
        <v>1985</v>
      </c>
      <c r="I416">
        <v>230260</v>
      </c>
      <c r="J416">
        <v>145278</v>
      </c>
      <c r="K416">
        <v>84982</v>
      </c>
      <c r="L416">
        <v>239880</v>
      </c>
      <c r="M416">
        <v>-9620</v>
      </c>
      <c r="N416" t="s">
        <v>341</v>
      </c>
      <c r="O416" t="s">
        <v>326</v>
      </c>
    </row>
    <row r="417" spans="1:15" ht="15.75" customHeight="1" x14ac:dyDescent="0.2">
      <c r="A417" t="s">
        <v>404</v>
      </c>
      <c r="B417" t="s">
        <v>271</v>
      </c>
      <c r="C417" t="s">
        <v>272</v>
      </c>
      <c r="D417" t="s">
        <v>273</v>
      </c>
      <c r="E417" t="s">
        <v>325</v>
      </c>
      <c r="F417" t="s">
        <v>87</v>
      </c>
      <c r="G417">
        <v>201</v>
      </c>
      <c r="H417">
        <v>1503</v>
      </c>
      <c r="I417">
        <v>302103</v>
      </c>
      <c r="J417">
        <v>227373</v>
      </c>
      <c r="K417">
        <v>74730</v>
      </c>
      <c r="L417">
        <v>285850</v>
      </c>
      <c r="M417">
        <v>16253</v>
      </c>
      <c r="N417" t="s">
        <v>322</v>
      </c>
      <c r="O417" t="s">
        <v>326</v>
      </c>
    </row>
    <row r="418" spans="1:15" ht="15.75" customHeight="1" x14ac:dyDescent="0.2">
      <c r="A418" t="s">
        <v>291</v>
      </c>
      <c r="B418" t="s">
        <v>333</v>
      </c>
      <c r="C418" t="s">
        <v>265</v>
      </c>
      <c r="D418" t="s">
        <v>317</v>
      </c>
      <c r="E418" t="s">
        <v>318</v>
      </c>
      <c r="F418" t="s">
        <v>74</v>
      </c>
      <c r="G418">
        <v>429</v>
      </c>
      <c r="H418">
        <v>563</v>
      </c>
      <c r="I418">
        <v>241527</v>
      </c>
      <c r="J418">
        <v>193659</v>
      </c>
      <c r="K418">
        <v>47868</v>
      </c>
      <c r="L418">
        <v>250690</v>
      </c>
      <c r="M418">
        <v>-9163</v>
      </c>
      <c r="N418" t="s">
        <v>186</v>
      </c>
      <c r="O418" t="s">
        <v>326</v>
      </c>
    </row>
    <row r="419" spans="1:15" ht="15.75" customHeight="1" x14ac:dyDescent="0.2">
      <c r="A419" t="s">
        <v>175</v>
      </c>
      <c r="B419" t="s">
        <v>328</v>
      </c>
      <c r="C419" t="s">
        <v>367</v>
      </c>
      <c r="D419" t="s">
        <v>346</v>
      </c>
      <c r="E419" t="s">
        <v>318</v>
      </c>
      <c r="F419" t="s">
        <v>306</v>
      </c>
      <c r="G419">
        <v>152</v>
      </c>
      <c r="H419">
        <v>1151</v>
      </c>
      <c r="I419">
        <v>174952</v>
      </c>
      <c r="J419">
        <v>98242</v>
      </c>
      <c r="K419">
        <v>76710</v>
      </c>
      <c r="L419">
        <v>182639</v>
      </c>
      <c r="M419">
        <v>-7687</v>
      </c>
      <c r="N419" t="s">
        <v>341</v>
      </c>
      <c r="O419" t="s">
        <v>326</v>
      </c>
    </row>
    <row r="420" spans="1:15" ht="15.75" customHeight="1" x14ac:dyDescent="0.2">
      <c r="A420" t="s">
        <v>496</v>
      </c>
      <c r="B420" t="s">
        <v>263</v>
      </c>
      <c r="C420" t="s">
        <v>276</v>
      </c>
      <c r="D420" t="s">
        <v>360</v>
      </c>
      <c r="E420" t="s">
        <v>82</v>
      </c>
      <c r="F420" t="s">
        <v>356</v>
      </c>
      <c r="G420">
        <v>238</v>
      </c>
      <c r="H420">
        <v>1996</v>
      </c>
      <c r="I420">
        <v>475048</v>
      </c>
      <c r="J420">
        <v>255772</v>
      </c>
      <c r="K420">
        <v>219276</v>
      </c>
      <c r="L420">
        <v>488729</v>
      </c>
      <c r="M420">
        <v>-13681</v>
      </c>
      <c r="N420" t="s">
        <v>319</v>
      </c>
      <c r="O420" t="s">
        <v>189</v>
      </c>
    </row>
    <row r="421" spans="1:15" ht="15.75" customHeight="1" x14ac:dyDescent="0.2">
      <c r="A421" t="s">
        <v>439</v>
      </c>
      <c r="B421" t="s">
        <v>271</v>
      </c>
      <c r="C421" t="s">
        <v>270</v>
      </c>
      <c r="D421" t="s">
        <v>273</v>
      </c>
      <c r="E421" t="s">
        <v>82</v>
      </c>
      <c r="F421" t="s">
        <v>199</v>
      </c>
      <c r="G421">
        <v>176</v>
      </c>
      <c r="H421">
        <v>531</v>
      </c>
      <c r="I421">
        <v>93456</v>
      </c>
      <c r="J421">
        <v>78988</v>
      </c>
      <c r="K421">
        <v>14468</v>
      </c>
      <c r="L421">
        <v>105167</v>
      </c>
      <c r="M421">
        <v>-11711</v>
      </c>
      <c r="N421" t="s">
        <v>322</v>
      </c>
      <c r="O421" t="s">
        <v>320</v>
      </c>
    </row>
    <row r="422" spans="1:15" ht="15.75" customHeight="1" x14ac:dyDescent="0.2">
      <c r="A422" t="s">
        <v>455</v>
      </c>
      <c r="B422" t="s">
        <v>328</v>
      </c>
      <c r="C422" t="s">
        <v>329</v>
      </c>
      <c r="D422" t="s">
        <v>324</v>
      </c>
      <c r="E422" t="s">
        <v>71</v>
      </c>
      <c r="F422" t="s">
        <v>199</v>
      </c>
      <c r="G422">
        <v>427</v>
      </c>
      <c r="H422">
        <v>64</v>
      </c>
      <c r="I422">
        <v>27328</v>
      </c>
      <c r="J422">
        <v>17775</v>
      </c>
      <c r="K422">
        <v>9553</v>
      </c>
      <c r="L422">
        <v>16536</v>
      </c>
      <c r="M422">
        <v>10792</v>
      </c>
      <c r="N422" t="s">
        <v>186</v>
      </c>
      <c r="O422" t="s">
        <v>320</v>
      </c>
    </row>
    <row r="423" spans="1:15" ht="15.75" customHeight="1" x14ac:dyDescent="0.2">
      <c r="A423" t="s">
        <v>107</v>
      </c>
      <c r="B423" t="s">
        <v>271</v>
      </c>
      <c r="C423" t="s">
        <v>272</v>
      </c>
      <c r="D423" t="s">
        <v>77</v>
      </c>
      <c r="E423" t="s">
        <v>71</v>
      </c>
      <c r="F423" t="s">
        <v>87</v>
      </c>
      <c r="G423">
        <v>300</v>
      </c>
      <c r="H423">
        <v>599</v>
      </c>
      <c r="I423">
        <v>179700</v>
      </c>
      <c r="J423">
        <v>110794</v>
      </c>
      <c r="K423">
        <v>68906</v>
      </c>
      <c r="L423">
        <v>189322</v>
      </c>
      <c r="M423">
        <v>-9622</v>
      </c>
      <c r="N423" t="s">
        <v>186</v>
      </c>
      <c r="O423" t="s">
        <v>320</v>
      </c>
    </row>
    <row r="424" spans="1:15" ht="15.75" customHeight="1" x14ac:dyDescent="0.2">
      <c r="A424" t="s">
        <v>110</v>
      </c>
      <c r="B424" t="s">
        <v>333</v>
      </c>
      <c r="C424" t="s">
        <v>269</v>
      </c>
      <c r="D424" t="s">
        <v>307</v>
      </c>
      <c r="E424" t="s">
        <v>325</v>
      </c>
      <c r="F424" t="s">
        <v>87</v>
      </c>
      <c r="G424">
        <v>251</v>
      </c>
      <c r="H424">
        <v>942</v>
      </c>
      <c r="I424">
        <v>236442</v>
      </c>
      <c r="J424">
        <v>134322</v>
      </c>
      <c r="K424">
        <v>102120</v>
      </c>
      <c r="L424">
        <v>243149</v>
      </c>
      <c r="M424">
        <v>-6707</v>
      </c>
      <c r="N424" t="s">
        <v>319</v>
      </c>
      <c r="O424" t="s">
        <v>326</v>
      </c>
    </row>
    <row r="425" spans="1:15" ht="15.75" customHeight="1" x14ac:dyDescent="0.2">
      <c r="A425" t="s">
        <v>497</v>
      </c>
      <c r="B425" t="s">
        <v>333</v>
      </c>
      <c r="C425" t="s">
        <v>265</v>
      </c>
      <c r="D425" t="s">
        <v>273</v>
      </c>
      <c r="E425" t="s">
        <v>325</v>
      </c>
      <c r="F425" t="s">
        <v>306</v>
      </c>
      <c r="G425">
        <v>352</v>
      </c>
      <c r="H425">
        <v>423</v>
      </c>
      <c r="I425">
        <v>148896</v>
      </c>
      <c r="J425">
        <v>113925</v>
      </c>
      <c r="K425">
        <v>34971</v>
      </c>
      <c r="L425">
        <v>146701</v>
      </c>
      <c r="M425">
        <v>2195</v>
      </c>
      <c r="N425" t="s">
        <v>322</v>
      </c>
      <c r="O425" t="s">
        <v>326</v>
      </c>
    </row>
    <row r="426" spans="1:15" ht="15.75" customHeight="1" x14ac:dyDescent="0.2">
      <c r="A426" t="s">
        <v>117</v>
      </c>
      <c r="B426" t="s">
        <v>338</v>
      </c>
      <c r="C426" t="s">
        <v>348</v>
      </c>
      <c r="D426" t="s">
        <v>391</v>
      </c>
      <c r="E426" t="s">
        <v>325</v>
      </c>
      <c r="F426" t="s">
        <v>306</v>
      </c>
      <c r="G426">
        <v>400</v>
      </c>
      <c r="H426">
        <v>1577</v>
      </c>
      <c r="I426">
        <v>630800</v>
      </c>
      <c r="J426">
        <v>406277</v>
      </c>
      <c r="K426">
        <v>224523</v>
      </c>
      <c r="L426">
        <v>644967</v>
      </c>
      <c r="M426">
        <v>-14167</v>
      </c>
      <c r="N426" t="s">
        <v>186</v>
      </c>
      <c r="O426" t="s">
        <v>320</v>
      </c>
    </row>
    <row r="427" spans="1:15" ht="15.75" customHeight="1" x14ac:dyDescent="0.2">
      <c r="A427" t="s">
        <v>353</v>
      </c>
      <c r="B427" t="s">
        <v>338</v>
      </c>
      <c r="C427" t="s">
        <v>345</v>
      </c>
      <c r="D427" t="s">
        <v>391</v>
      </c>
      <c r="E427" t="s">
        <v>82</v>
      </c>
      <c r="F427" t="s">
        <v>199</v>
      </c>
      <c r="G427">
        <v>220</v>
      </c>
      <c r="H427">
        <v>1767</v>
      </c>
      <c r="I427">
        <v>388740</v>
      </c>
      <c r="J427">
        <v>296255</v>
      </c>
      <c r="K427">
        <v>92485</v>
      </c>
      <c r="L427">
        <v>372654</v>
      </c>
      <c r="M427">
        <v>16086</v>
      </c>
      <c r="N427" t="s">
        <v>341</v>
      </c>
      <c r="O427" t="s">
        <v>326</v>
      </c>
    </row>
    <row r="428" spans="1:15" ht="15.75" customHeight="1" x14ac:dyDescent="0.2">
      <c r="A428" t="s">
        <v>209</v>
      </c>
      <c r="B428" t="s">
        <v>338</v>
      </c>
      <c r="C428" t="s">
        <v>345</v>
      </c>
      <c r="D428" t="s">
        <v>73</v>
      </c>
      <c r="E428" t="s">
        <v>71</v>
      </c>
      <c r="F428" t="s">
        <v>81</v>
      </c>
      <c r="G428">
        <v>98</v>
      </c>
      <c r="H428">
        <v>1040</v>
      </c>
      <c r="I428">
        <v>101920</v>
      </c>
      <c r="J428">
        <v>79196</v>
      </c>
      <c r="K428">
        <v>22724</v>
      </c>
      <c r="L428">
        <v>86071</v>
      </c>
      <c r="M428">
        <v>15849</v>
      </c>
      <c r="N428" t="s">
        <v>186</v>
      </c>
      <c r="O428" t="s">
        <v>326</v>
      </c>
    </row>
    <row r="429" spans="1:15" ht="15.75" customHeight="1" x14ac:dyDescent="0.2">
      <c r="A429" t="s">
        <v>125</v>
      </c>
      <c r="B429" t="s">
        <v>333</v>
      </c>
      <c r="C429" t="s">
        <v>311</v>
      </c>
      <c r="D429" t="s">
        <v>324</v>
      </c>
      <c r="E429" t="s">
        <v>71</v>
      </c>
      <c r="F429" t="s">
        <v>81</v>
      </c>
      <c r="G429">
        <v>37</v>
      </c>
      <c r="H429">
        <v>1170</v>
      </c>
      <c r="I429">
        <v>43290</v>
      </c>
      <c r="J429">
        <v>28396</v>
      </c>
      <c r="K429">
        <v>14894</v>
      </c>
      <c r="L429">
        <v>55376</v>
      </c>
      <c r="M429">
        <v>-12086</v>
      </c>
      <c r="N429" t="s">
        <v>341</v>
      </c>
      <c r="O429" t="s">
        <v>189</v>
      </c>
    </row>
    <row r="430" spans="1:15" ht="15.75" customHeight="1" x14ac:dyDescent="0.2">
      <c r="A430" t="s">
        <v>362</v>
      </c>
      <c r="B430" t="s">
        <v>263</v>
      </c>
      <c r="C430" t="s">
        <v>347</v>
      </c>
      <c r="D430" t="s">
        <v>95</v>
      </c>
      <c r="E430" t="s">
        <v>318</v>
      </c>
      <c r="F430" t="s">
        <v>70</v>
      </c>
      <c r="G430">
        <v>389</v>
      </c>
      <c r="H430">
        <v>1549</v>
      </c>
      <c r="I430">
        <v>602561</v>
      </c>
      <c r="J430">
        <v>306428</v>
      </c>
      <c r="K430">
        <v>296133</v>
      </c>
      <c r="L430">
        <v>606733</v>
      </c>
      <c r="M430">
        <v>-4172</v>
      </c>
      <c r="N430" t="s">
        <v>322</v>
      </c>
      <c r="O430" t="s">
        <v>320</v>
      </c>
    </row>
    <row r="431" spans="1:15" ht="15.75" customHeight="1" x14ac:dyDescent="0.2">
      <c r="A431" t="s">
        <v>425</v>
      </c>
      <c r="B431" t="s">
        <v>271</v>
      </c>
      <c r="C431" t="s">
        <v>309</v>
      </c>
      <c r="D431" t="s">
        <v>223</v>
      </c>
      <c r="E431" t="s">
        <v>318</v>
      </c>
      <c r="F431" t="s">
        <v>306</v>
      </c>
      <c r="G431">
        <v>73</v>
      </c>
      <c r="H431">
        <v>1078</v>
      </c>
      <c r="I431">
        <v>78694</v>
      </c>
      <c r="J431">
        <v>53622</v>
      </c>
      <c r="K431">
        <v>25072</v>
      </c>
      <c r="L431">
        <v>87765</v>
      </c>
      <c r="M431">
        <v>-9071</v>
      </c>
      <c r="N431" t="s">
        <v>319</v>
      </c>
      <c r="O431" t="s">
        <v>326</v>
      </c>
    </row>
    <row r="432" spans="1:15" ht="15.75" customHeight="1" x14ac:dyDescent="0.2">
      <c r="A432" t="s">
        <v>75</v>
      </c>
      <c r="B432" t="s">
        <v>263</v>
      </c>
      <c r="C432" t="s">
        <v>264</v>
      </c>
      <c r="D432" t="s">
        <v>307</v>
      </c>
      <c r="E432" t="s">
        <v>325</v>
      </c>
      <c r="F432" t="s">
        <v>74</v>
      </c>
      <c r="G432">
        <v>361</v>
      </c>
      <c r="H432">
        <v>643</v>
      </c>
      <c r="I432">
        <v>232123</v>
      </c>
      <c r="J432">
        <v>160194</v>
      </c>
      <c r="K432">
        <v>71929</v>
      </c>
      <c r="L432">
        <v>225035</v>
      </c>
      <c r="M432">
        <v>7088</v>
      </c>
      <c r="N432" t="s">
        <v>341</v>
      </c>
      <c r="O432" t="s">
        <v>320</v>
      </c>
    </row>
    <row r="433" spans="1:15" ht="15.75" customHeight="1" x14ac:dyDescent="0.2">
      <c r="A433" t="s">
        <v>498</v>
      </c>
      <c r="B433" t="s">
        <v>338</v>
      </c>
      <c r="C433" t="s">
        <v>339</v>
      </c>
      <c r="D433" t="s">
        <v>336</v>
      </c>
      <c r="E433" t="s">
        <v>318</v>
      </c>
      <c r="F433" t="s">
        <v>92</v>
      </c>
      <c r="G433">
        <v>409</v>
      </c>
      <c r="H433">
        <v>1871</v>
      </c>
      <c r="I433">
        <v>765239</v>
      </c>
      <c r="J433">
        <v>592647</v>
      </c>
      <c r="K433">
        <v>172592</v>
      </c>
      <c r="L433">
        <v>770570</v>
      </c>
      <c r="M433">
        <v>-5331</v>
      </c>
      <c r="N433" t="s">
        <v>322</v>
      </c>
      <c r="O433" t="s">
        <v>189</v>
      </c>
    </row>
    <row r="434" spans="1:15" ht="15.75" customHeight="1" x14ac:dyDescent="0.2">
      <c r="A434" t="s">
        <v>337</v>
      </c>
      <c r="B434" t="s">
        <v>333</v>
      </c>
      <c r="C434" t="s">
        <v>265</v>
      </c>
      <c r="D434" t="s">
        <v>69</v>
      </c>
      <c r="E434" t="s">
        <v>71</v>
      </c>
      <c r="F434" t="s">
        <v>81</v>
      </c>
      <c r="G434">
        <v>103</v>
      </c>
      <c r="H434">
        <v>1723</v>
      </c>
      <c r="I434">
        <v>177469</v>
      </c>
      <c r="J434">
        <v>110997</v>
      </c>
      <c r="K434">
        <v>66472</v>
      </c>
      <c r="L434">
        <v>168284</v>
      </c>
      <c r="M434">
        <v>9185</v>
      </c>
      <c r="N434" t="s">
        <v>319</v>
      </c>
      <c r="O434" t="s">
        <v>331</v>
      </c>
    </row>
    <row r="435" spans="1:15" ht="15.75" customHeight="1" x14ac:dyDescent="0.2">
      <c r="A435" t="s">
        <v>131</v>
      </c>
      <c r="B435" t="s">
        <v>333</v>
      </c>
      <c r="C435" t="s">
        <v>343</v>
      </c>
      <c r="D435" t="s">
        <v>73</v>
      </c>
      <c r="E435" t="s">
        <v>82</v>
      </c>
      <c r="F435" t="s">
        <v>87</v>
      </c>
      <c r="G435">
        <v>282</v>
      </c>
      <c r="H435">
        <v>1581</v>
      </c>
      <c r="I435">
        <v>445842</v>
      </c>
      <c r="J435">
        <v>276646</v>
      </c>
      <c r="K435">
        <v>169196</v>
      </c>
      <c r="L435">
        <v>440332</v>
      </c>
      <c r="M435">
        <v>5510</v>
      </c>
      <c r="N435" t="s">
        <v>319</v>
      </c>
      <c r="O435" t="s">
        <v>331</v>
      </c>
    </row>
    <row r="436" spans="1:15" ht="15.75" customHeight="1" x14ac:dyDescent="0.2">
      <c r="A436" t="s">
        <v>382</v>
      </c>
      <c r="B436" t="s">
        <v>271</v>
      </c>
      <c r="C436" t="s">
        <v>272</v>
      </c>
      <c r="D436" t="s">
        <v>73</v>
      </c>
      <c r="E436" t="s">
        <v>318</v>
      </c>
      <c r="F436" t="s">
        <v>70</v>
      </c>
      <c r="G436">
        <v>329</v>
      </c>
      <c r="H436">
        <v>1590</v>
      </c>
      <c r="I436">
        <v>523110</v>
      </c>
      <c r="J436">
        <v>371637</v>
      </c>
      <c r="K436">
        <v>151473</v>
      </c>
      <c r="L436">
        <v>534821</v>
      </c>
      <c r="M436">
        <v>-11711</v>
      </c>
      <c r="N436" t="s">
        <v>319</v>
      </c>
      <c r="O436" t="s">
        <v>326</v>
      </c>
    </row>
    <row r="437" spans="1:15" ht="15.75" customHeight="1" x14ac:dyDescent="0.2">
      <c r="A437" t="s">
        <v>499</v>
      </c>
      <c r="B437" t="s">
        <v>338</v>
      </c>
      <c r="C437" t="s">
        <v>339</v>
      </c>
      <c r="D437" t="s">
        <v>95</v>
      </c>
      <c r="E437" t="s">
        <v>325</v>
      </c>
      <c r="F437" t="s">
        <v>306</v>
      </c>
      <c r="G437">
        <v>13</v>
      </c>
      <c r="H437">
        <v>289</v>
      </c>
      <c r="I437">
        <v>3757</v>
      </c>
      <c r="J437">
        <v>2703</v>
      </c>
      <c r="K437">
        <v>1054</v>
      </c>
      <c r="L437">
        <v>-7227</v>
      </c>
      <c r="M437">
        <v>10984</v>
      </c>
      <c r="N437" t="s">
        <v>341</v>
      </c>
      <c r="O437" t="s">
        <v>326</v>
      </c>
    </row>
    <row r="438" spans="1:15" ht="15.75" customHeight="1" x14ac:dyDescent="0.2">
      <c r="A438" t="s">
        <v>221</v>
      </c>
      <c r="B438" t="s">
        <v>271</v>
      </c>
      <c r="C438" t="s">
        <v>270</v>
      </c>
      <c r="D438" t="s">
        <v>73</v>
      </c>
      <c r="E438" t="s">
        <v>71</v>
      </c>
      <c r="F438" t="s">
        <v>199</v>
      </c>
      <c r="G438">
        <v>218</v>
      </c>
      <c r="H438">
        <v>584</v>
      </c>
      <c r="I438">
        <v>127312</v>
      </c>
      <c r="J438">
        <v>94293</v>
      </c>
      <c r="K438">
        <v>33019</v>
      </c>
      <c r="L438">
        <v>132658</v>
      </c>
      <c r="M438">
        <v>-5346</v>
      </c>
      <c r="N438" t="s">
        <v>322</v>
      </c>
      <c r="O438" t="s">
        <v>320</v>
      </c>
    </row>
    <row r="439" spans="1:15" ht="15.75" customHeight="1" x14ac:dyDescent="0.2">
      <c r="A439" t="s">
        <v>426</v>
      </c>
      <c r="B439" t="s">
        <v>271</v>
      </c>
      <c r="C439" t="s">
        <v>309</v>
      </c>
      <c r="D439" t="s">
        <v>355</v>
      </c>
      <c r="E439" t="s">
        <v>82</v>
      </c>
      <c r="F439" t="s">
        <v>306</v>
      </c>
      <c r="G439">
        <v>76</v>
      </c>
      <c r="H439">
        <v>1403</v>
      </c>
      <c r="I439">
        <v>106628</v>
      </c>
      <c r="J439">
        <v>75007</v>
      </c>
      <c r="K439">
        <v>31621</v>
      </c>
      <c r="L439">
        <v>96067</v>
      </c>
      <c r="M439">
        <v>10561</v>
      </c>
      <c r="N439" t="s">
        <v>186</v>
      </c>
      <c r="O439" t="s">
        <v>326</v>
      </c>
    </row>
    <row r="440" spans="1:15" ht="15.75" customHeight="1" x14ac:dyDescent="0.2">
      <c r="A440" t="s">
        <v>296</v>
      </c>
      <c r="B440" t="s">
        <v>328</v>
      </c>
      <c r="C440" t="s">
        <v>359</v>
      </c>
      <c r="D440" t="s">
        <v>317</v>
      </c>
      <c r="E440" t="s">
        <v>71</v>
      </c>
      <c r="F440" t="s">
        <v>81</v>
      </c>
      <c r="G440">
        <v>410</v>
      </c>
      <c r="H440">
        <v>1913</v>
      </c>
      <c r="I440">
        <v>784330</v>
      </c>
      <c r="J440">
        <v>407960</v>
      </c>
      <c r="K440">
        <v>376370</v>
      </c>
      <c r="L440">
        <v>770841</v>
      </c>
      <c r="M440">
        <v>13489</v>
      </c>
      <c r="N440" t="s">
        <v>341</v>
      </c>
      <c r="O440" t="s">
        <v>326</v>
      </c>
    </row>
    <row r="441" spans="1:15" ht="15.75" customHeight="1" x14ac:dyDescent="0.2">
      <c r="A441" t="s">
        <v>225</v>
      </c>
      <c r="B441" t="s">
        <v>338</v>
      </c>
      <c r="C441" t="s">
        <v>339</v>
      </c>
      <c r="D441" t="s">
        <v>223</v>
      </c>
      <c r="E441" t="s">
        <v>325</v>
      </c>
      <c r="F441" t="s">
        <v>356</v>
      </c>
      <c r="G441">
        <v>485</v>
      </c>
      <c r="H441">
        <v>670</v>
      </c>
      <c r="I441">
        <v>324950</v>
      </c>
      <c r="J441">
        <v>273439</v>
      </c>
      <c r="K441">
        <v>51511</v>
      </c>
      <c r="L441">
        <v>309403</v>
      </c>
      <c r="M441">
        <v>15547</v>
      </c>
      <c r="N441" t="s">
        <v>322</v>
      </c>
      <c r="O441" t="s">
        <v>331</v>
      </c>
    </row>
    <row r="442" spans="1:15" ht="15.75" customHeight="1" x14ac:dyDescent="0.2">
      <c r="A442" t="s">
        <v>500</v>
      </c>
      <c r="B442" t="s">
        <v>271</v>
      </c>
      <c r="C442" t="s">
        <v>309</v>
      </c>
      <c r="D442" t="s">
        <v>223</v>
      </c>
      <c r="E442" t="s">
        <v>325</v>
      </c>
      <c r="F442" t="s">
        <v>199</v>
      </c>
      <c r="G442">
        <v>8</v>
      </c>
      <c r="H442">
        <v>1521</v>
      </c>
      <c r="I442">
        <v>12168</v>
      </c>
      <c r="J442">
        <v>9124</v>
      </c>
      <c r="K442">
        <v>3044</v>
      </c>
      <c r="L442">
        <v>13067</v>
      </c>
      <c r="M442">
        <v>-899</v>
      </c>
      <c r="N442" t="s">
        <v>322</v>
      </c>
      <c r="O442" t="s">
        <v>320</v>
      </c>
    </row>
    <row r="443" spans="1:15" ht="15.75" customHeight="1" x14ac:dyDescent="0.2">
      <c r="A443" t="s">
        <v>124</v>
      </c>
      <c r="B443" t="s">
        <v>263</v>
      </c>
      <c r="C443" t="s">
        <v>280</v>
      </c>
      <c r="D443" t="s">
        <v>335</v>
      </c>
      <c r="E443" t="s">
        <v>325</v>
      </c>
      <c r="F443" t="s">
        <v>74</v>
      </c>
      <c r="G443">
        <v>205</v>
      </c>
      <c r="H443">
        <v>1766</v>
      </c>
      <c r="I443">
        <v>362030</v>
      </c>
      <c r="J443">
        <v>266451</v>
      </c>
      <c r="K443">
        <v>95579</v>
      </c>
      <c r="L443">
        <v>343760</v>
      </c>
      <c r="M443">
        <v>18270</v>
      </c>
      <c r="N443" t="s">
        <v>186</v>
      </c>
      <c r="O443" t="s">
        <v>326</v>
      </c>
    </row>
    <row r="444" spans="1:15" ht="15.75" customHeight="1" x14ac:dyDescent="0.2">
      <c r="A444" t="s">
        <v>349</v>
      </c>
      <c r="B444" t="s">
        <v>263</v>
      </c>
      <c r="C444" t="s">
        <v>354</v>
      </c>
      <c r="D444" t="s">
        <v>84</v>
      </c>
      <c r="E444" t="s">
        <v>325</v>
      </c>
      <c r="F444" t="s">
        <v>199</v>
      </c>
      <c r="G444">
        <v>12</v>
      </c>
      <c r="H444">
        <v>1259</v>
      </c>
      <c r="I444">
        <v>15108</v>
      </c>
      <c r="J444">
        <v>10416</v>
      </c>
      <c r="K444">
        <v>4692</v>
      </c>
      <c r="L444">
        <v>33844</v>
      </c>
      <c r="M444">
        <v>-18736</v>
      </c>
      <c r="N444" t="s">
        <v>319</v>
      </c>
      <c r="O444" t="s">
        <v>189</v>
      </c>
    </row>
    <row r="445" spans="1:15" ht="15.75" customHeight="1" x14ac:dyDescent="0.2">
      <c r="A445" t="s">
        <v>501</v>
      </c>
      <c r="B445" t="s">
        <v>263</v>
      </c>
      <c r="C445" t="s">
        <v>347</v>
      </c>
      <c r="D445" t="s">
        <v>308</v>
      </c>
      <c r="E445" t="s">
        <v>318</v>
      </c>
      <c r="F445" t="s">
        <v>74</v>
      </c>
      <c r="G445">
        <v>44</v>
      </c>
      <c r="H445">
        <v>1630</v>
      </c>
      <c r="I445">
        <v>71720</v>
      </c>
      <c r="J445">
        <v>37835</v>
      </c>
      <c r="K445">
        <v>33885</v>
      </c>
      <c r="L445">
        <v>56730</v>
      </c>
      <c r="M445">
        <v>14990</v>
      </c>
      <c r="N445" t="s">
        <v>322</v>
      </c>
      <c r="O445" t="s">
        <v>326</v>
      </c>
    </row>
    <row r="446" spans="1:15" ht="15.75" customHeight="1" x14ac:dyDescent="0.2">
      <c r="A446" t="s">
        <v>353</v>
      </c>
      <c r="B446" t="s">
        <v>271</v>
      </c>
      <c r="C446" t="s">
        <v>272</v>
      </c>
      <c r="D446" t="s">
        <v>346</v>
      </c>
      <c r="E446" t="s">
        <v>82</v>
      </c>
      <c r="F446" t="s">
        <v>92</v>
      </c>
      <c r="G446">
        <v>98</v>
      </c>
      <c r="H446">
        <v>1201</v>
      </c>
      <c r="I446">
        <v>117698</v>
      </c>
      <c r="J446">
        <v>82418</v>
      </c>
      <c r="K446">
        <v>35280</v>
      </c>
      <c r="L446">
        <v>127929</v>
      </c>
      <c r="M446">
        <v>-10231</v>
      </c>
      <c r="N446" t="s">
        <v>322</v>
      </c>
      <c r="O446" t="s">
        <v>189</v>
      </c>
    </row>
    <row r="447" spans="1:15" ht="15.75" customHeight="1" x14ac:dyDescent="0.2">
      <c r="A447" t="s">
        <v>377</v>
      </c>
      <c r="B447" t="s">
        <v>271</v>
      </c>
      <c r="C447" t="s">
        <v>309</v>
      </c>
      <c r="D447" t="s">
        <v>308</v>
      </c>
      <c r="E447" t="s">
        <v>318</v>
      </c>
      <c r="F447" t="s">
        <v>199</v>
      </c>
      <c r="G447">
        <v>441</v>
      </c>
      <c r="H447">
        <v>828</v>
      </c>
      <c r="I447">
        <v>365148</v>
      </c>
      <c r="J447">
        <v>234150</v>
      </c>
      <c r="K447">
        <v>130998</v>
      </c>
      <c r="L447">
        <v>383698</v>
      </c>
      <c r="M447">
        <v>-18550</v>
      </c>
      <c r="N447" t="s">
        <v>322</v>
      </c>
      <c r="O447" t="s">
        <v>326</v>
      </c>
    </row>
    <row r="448" spans="1:15" ht="15.75" customHeight="1" x14ac:dyDescent="0.2">
      <c r="A448" t="s">
        <v>113</v>
      </c>
      <c r="B448" t="s">
        <v>263</v>
      </c>
      <c r="C448" t="s">
        <v>354</v>
      </c>
      <c r="D448" t="s">
        <v>84</v>
      </c>
      <c r="E448" t="s">
        <v>71</v>
      </c>
      <c r="F448" t="s">
        <v>199</v>
      </c>
      <c r="G448">
        <v>278</v>
      </c>
      <c r="H448">
        <v>377</v>
      </c>
      <c r="I448">
        <v>104806</v>
      </c>
      <c r="J448">
        <v>83952</v>
      </c>
      <c r="K448">
        <v>20854</v>
      </c>
      <c r="L448">
        <v>112274</v>
      </c>
      <c r="M448">
        <v>-7468</v>
      </c>
      <c r="N448" t="s">
        <v>322</v>
      </c>
      <c r="O448" t="s">
        <v>320</v>
      </c>
    </row>
    <row r="449" spans="1:15" ht="15.75" customHeight="1" x14ac:dyDescent="0.2">
      <c r="A449" t="s">
        <v>466</v>
      </c>
      <c r="B449" t="s">
        <v>328</v>
      </c>
      <c r="C449" t="s">
        <v>283</v>
      </c>
      <c r="D449" t="s">
        <v>355</v>
      </c>
      <c r="E449" t="s">
        <v>82</v>
      </c>
      <c r="F449" t="s">
        <v>199</v>
      </c>
      <c r="G449">
        <v>50</v>
      </c>
      <c r="H449">
        <v>1794</v>
      </c>
      <c r="I449">
        <v>89700</v>
      </c>
      <c r="J449">
        <v>72568</v>
      </c>
      <c r="K449">
        <v>17132</v>
      </c>
      <c r="L449">
        <v>85382</v>
      </c>
      <c r="M449">
        <v>4318</v>
      </c>
      <c r="N449" t="s">
        <v>322</v>
      </c>
      <c r="O449" t="s">
        <v>189</v>
      </c>
    </row>
    <row r="450" spans="1:15" ht="15.75" customHeight="1" x14ac:dyDescent="0.2">
      <c r="A450" t="s">
        <v>500</v>
      </c>
      <c r="B450" t="s">
        <v>328</v>
      </c>
      <c r="C450" t="s">
        <v>283</v>
      </c>
      <c r="D450" t="s">
        <v>355</v>
      </c>
      <c r="E450" t="s">
        <v>82</v>
      </c>
      <c r="F450" t="s">
        <v>81</v>
      </c>
      <c r="G450">
        <v>158</v>
      </c>
      <c r="H450">
        <v>1747</v>
      </c>
      <c r="I450">
        <v>276026</v>
      </c>
      <c r="J450">
        <v>213174</v>
      </c>
      <c r="K450">
        <v>62852</v>
      </c>
      <c r="L450">
        <v>281026</v>
      </c>
      <c r="M450">
        <v>-5000</v>
      </c>
      <c r="N450" t="s">
        <v>322</v>
      </c>
      <c r="O450" t="s">
        <v>320</v>
      </c>
    </row>
    <row r="451" spans="1:15" ht="15.75" customHeight="1" x14ac:dyDescent="0.2">
      <c r="A451" t="s">
        <v>376</v>
      </c>
      <c r="B451" t="s">
        <v>333</v>
      </c>
      <c r="C451" t="s">
        <v>343</v>
      </c>
      <c r="D451" t="s">
        <v>69</v>
      </c>
      <c r="E451" t="s">
        <v>318</v>
      </c>
      <c r="F451" t="s">
        <v>70</v>
      </c>
      <c r="G451">
        <v>76</v>
      </c>
      <c r="H451">
        <v>926</v>
      </c>
      <c r="I451">
        <v>70376</v>
      </c>
      <c r="J451">
        <v>46259</v>
      </c>
      <c r="K451">
        <v>24117</v>
      </c>
      <c r="L451">
        <v>62884</v>
      </c>
      <c r="M451">
        <v>7492</v>
      </c>
      <c r="N451" t="s">
        <v>186</v>
      </c>
      <c r="O451" t="s">
        <v>320</v>
      </c>
    </row>
    <row r="452" spans="1:15" ht="15.75" customHeight="1" x14ac:dyDescent="0.2">
      <c r="A452" t="s">
        <v>502</v>
      </c>
      <c r="B452" t="s">
        <v>328</v>
      </c>
      <c r="C452" t="s">
        <v>283</v>
      </c>
      <c r="D452" t="s">
        <v>95</v>
      </c>
      <c r="E452" t="s">
        <v>325</v>
      </c>
      <c r="F452" t="s">
        <v>87</v>
      </c>
      <c r="G452">
        <v>215</v>
      </c>
      <c r="H452">
        <v>1749</v>
      </c>
      <c r="I452">
        <v>376035</v>
      </c>
      <c r="J452">
        <v>232139</v>
      </c>
      <c r="K452">
        <v>143896</v>
      </c>
      <c r="L452">
        <v>380893</v>
      </c>
      <c r="M452">
        <v>-4858</v>
      </c>
      <c r="N452" t="s">
        <v>186</v>
      </c>
      <c r="O452" t="s">
        <v>331</v>
      </c>
    </row>
    <row r="453" spans="1:15" ht="15.75" customHeight="1" x14ac:dyDescent="0.2">
      <c r="A453" t="s">
        <v>503</v>
      </c>
      <c r="B453" t="s">
        <v>271</v>
      </c>
      <c r="C453" t="s">
        <v>270</v>
      </c>
      <c r="D453" t="s">
        <v>360</v>
      </c>
      <c r="E453" t="s">
        <v>325</v>
      </c>
      <c r="F453" t="s">
        <v>92</v>
      </c>
      <c r="G453">
        <v>153</v>
      </c>
      <c r="H453">
        <v>392</v>
      </c>
      <c r="I453">
        <v>59976</v>
      </c>
      <c r="J453">
        <v>33065</v>
      </c>
      <c r="K453">
        <v>26911</v>
      </c>
      <c r="L453">
        <v>50880</v>
      </c>
      <c r="M453">
        <v>9096</v>
      </c>
      <c r="N453" t="s">
        <v>186</v>
      </c>
      <c r="O453" t="s">
        <v>320</v>
      </c>
    </row>
    <row r="454" spans="1:15" ht="15.75" customHeight="1" x14ac:dyDescent="0.2">
      <c r="A454" t="s">
        <v>133</v>
      </c>
      <c r="B454" t="s">
        <v>333</v>
      </c>
      <c r="C454" t="s">
        <v>383</v>
      </c>
      <c r="D454" t="s">
        <v>73</v>
      </c>
      <c r="E454" t="s">
        <v>71</v>
      </c>
      <c r="F454" t="s">
        <v>356</v>
      </c>
      <c r="G454">
        <v>454</v>
      </c>
      <c r="H454">
        <v>1733</v>
      </c>
      <c r="I454">
        <v>786782</v>
      </c>
      <c r="J454">
        <v>590523</v>
      </c>
      <c r="K454">
        <v>196259</v>
      </c>
      <c r="L454">
        <v>784474</v>
      </c>
      <c r="M454">
        <v>2308</v>
      </c>
      <c r="N454" t="s">
        <v>186</v>
      </c>
      <c r="O454" t="s">
        <v>331</v>
      </c>
    </row>
    <row r="455" spans="1:15" ht="15.75" customHeight="1" x14ac:dyDescent="0.2">
      <c r="A455" t="s">
        <v>504</v>
      </c>
      <c r="B455" t="s">
        <v>333</v>
      </c>
      <c r="C455" t="s">
        <v>383</v>
      </c>
      <c r="D455" t="s">
        <v>346</v>
      </c>
      <c r="E455" t="s">
        <v>82</v>
      </c>
      <c r="F455" t="s">
        <v>199</v>
      </c>
      <c r="G455">
        <v>256</v>
      </c>
      <c r="H455">
        <v>919</v>
      </c>
      <c r="I455">
        <v>235264</v>
      </c>
      <c r="J455">
        <v>168796</v>
      </c>
      <c r="K455">
        <v>66468</v>
      </c>
      <c r="L455">
        <v>248844</v>
      </c>
      <c r="M455">
        <v>-13580</v>
      </c>
      <c r="N455" t="s">
        <v>319</v>
      </c>
      <c r="O455" t="s">
        <v>331</v>
      </c>
    </row>
    <row r="456" spans="1:15" ht="15.75" customHeight="1" x14ac:dyDescent="0.2">
      <c r="A456" t="s">
        <v>126</v>
      </c>
      <c r="B456" t="s">
        <v>271</v>
      </c>
      <c r="C456" t="s">
        <v>270</v>
      </c>
      <c r="D456" t="s">
        <v>69</v>
      </c>
      <c r="E456" t="s">
        <v>325</v>
      </c>
      <c r="F456" t="s">
        <v>199</v>
      </c>
      <c r="G456">
        <v>225</v>
      </c>
      <c r="H456">
        <v>127</v>
      </c>
      <c r="I456">
        <v>28575</v>
      </c>
      <c r="J456">
        <v>20721</v>
      </c>
      <c r="K456">
        <v>7854</v>
      </c>
      <c r="L456">
        <v>20371</v>
      </c>
      <c r="M456">
        <v>8204</v>
      </c>
      <c r="N456" t="s">
        <v>322</v>
      </c>
      <c r="O456" t="s">
        <v>326</v>
      </c>
    </row>
    <row r="457" spans="1:15" ht="15.75" customHeight="1" x14ac:dyDescent="0.2">
      <c r="A457" t="s">
        <v>114</v>
      </c>
      <c r="B457" t="s">
        <v>328</v>
      </c>
      <c r="C457" t="s">
        <v>283</v>
      </c>
      <c r="D457" t="s">
        <v>335</v>
      </c>
      <c r="E457" t="s">
        <v>325</v>
      </c>
      <c r="F457" t="s">
        <v>306</v>
      </c>
      <c r="G457">
        <v>105</v>
      </c>
      <c r="H457">
        <v>561</v>
      </c>
      <c r="I457">
        <v>58905</v>
      </c>
      <c r="J457">
        <v>49550</v>
      </c>
      <c r="K457">
        <v>9355</v>
      </c>
      <c r="L457">
        <v>57659</v>
      </c>
      <c r="M457">
        <v>1246</v>
      </c>
      <c r="N457" t="s">
        <v>322</v>
      </c>
      <c r="O457" t="s">
        <v>331</v>
      </c>
    </row>
    <row r="458" spans="1:15" ht="15.75" customHeight="1" x14ac:dyDescent="0.2">
      <c r="A458" t="s">
        <v>380</v>
      </c>
      <c r="B458" t="s">
        <v>333</v>
      </c>
      <c r="C458" t="s">
        <v>343</v>
      </c>
      <c r="D458" t="s">
        <v>69</v>
      </c>
      <c r="E458" t="s">
        <v>71</v>
      </c>
      <c r="F458" t="s">
        <v>199</v>
      </c>
      <c r="G458">
        <v>329</v>
      </c>
      <c r="H458">
        <v>1270</v>
      </c>
      <c r="I458">
        <v>417830</v>
      </c>
      <c r="J458">
        <v>315804</v>
      </c>
      <c r="K458">
        <v>102026</v>
      </c>
      <c r="L458">
        <v>399695</v>
      </c>
      <c r="M458">
        <v>18135</v>
      </c>
      <c r="N458" t="s">
        <v>186</v>
      </c>
      <c r="O458" t="s">
        <v>331</v>
      </c>
    </row>
    <row r="459" spans="1:15" ht="15.75" customHeight="1" x14ac:dyDescent="0.2">
      <c r="A459" t="s">
        <v>96</v>
      </c>
      <c r="B459" t="s">
        <v>263</v>
      </c>
      <c r="C459" t="s">
        <v>354</v>
      </c>
      <c r="D459" t="s">
        <v>95</v>
      </c>
      <c r="E459" t="s">
        <v>325</v>
      </c>
      <c r="F459" t="s">
        <v>199</v>
      </c>
      <c r="G459">
        <v>240</v>
      </c>
      <c r="H459">
        <v>583</v>
      </c>
      <c r="I459">
        <v>139920</v>
      </c>
      <c r="J459">
        <v>117046</v>
      </c>
      <c r="K459">
        <v>22874</v>
      </c>
      <c r="L459">
        <v>151227</v>
      </c>
      <c r="M459">
        <v>-11307</v>
      </c>
      <c r="N459" t="s">
        <v>319</v>
      </c>
      <c r="O459" t="s">
        <v>320</v>
      </c>
    </row>
    <row r="460" spans="1:15" ht="15.75" customHeight="1" x14ac:dyDescent="0.2">
      <c r="A460" t="s">
        <v>363</v>
      </c>
      <c r="B460" t="s">
        <v>271</v>
      </c>
      <c r="C460" t="s">
        <v>270</v>
      </c>
      <c r="D460" t="s">
        <v>73</v>
      </c>
      <c r="E460" t="s">
        <v>325</v>
      </c>
      <c r="F460" t="s">
        <v>356</v>
      </c>
      <c r="G460">
        <v>168</v>
      </c>
      <c r="H460">
        <v>1674</v>
      </c>
      <c r="I460">
        <v>281232</v>
      </c>
      <c r="J460">
        <v>195124</v>
      </c>
      <c r="K460">
        <v>86108</v>
      </c>
      <c r="L460">
        <v>271435</v>
      </c>
      <c r="M460">
        <v>9797</v>
      </c>
      <c r="N460" t="s">
        <v>186</v>
      </c>
      <c r="O460" t="s">
        <v>331</v>
      </c>
    </row>
    <row r="461" spans="1:15" ht="15.75" customHeight="1" x14ac:dyDescent="0.2">
      <c r="A461" t="s">
        <v>104</v>
      </c>
      <c r="B461" t="s">
        <v>333</v>
      </c>
      <c r="C461" t="s">
        <v>265</v>
      </c>
      <c r="D461" t="s">
        <v>223</v>
      </c>
      <c r="E461" t="s">
        <v>318</v>
      </c>
      <c r="F461" t="s">
        <v>306</v>
      </c>
      <c r="G461">
        <v>67</v>
      </c>
      <c r="H461">
        <v>394</v>
      </c>
      <c r="I461">
        <v>26398</v>
      </c>
      <c r="J461">
        <v>17116</v>
      </c>
      <c r="K461">
        <v>9282</v>
      </c>
      <c r="L461">
        <v>14829</v>
      </c>
      <c r="M461">
        <v>11569</v>
      </c>
      <c r="N461" t="s">
        <v>341</v>
      </c>
      <c r="O461" t="s">
        <v>189</v>
      </c>
    </row>
    <row r="462" spans="1:15" ht="15.75" customHeight="1" x14ac:dyDescent="0.2">
      <c r="A462" t="s">
        <v>454</v>
      </c>
      <c r="B462" t="s">
        <v>271</v>
      </c>
      <c r="C462" t="s">
        <v>309</v>
      </c>
      <c r="D462" t="s">
        <v>330</v>
      </c>
      <c r="E462" t="s">
        <v>325</v>
      </c>
      <c r="F462" t="s">
        <v>81</v>
      </c>
      <c r="G462">
        <v>218</v>
      </c>
      <c r="H462">
        <v>805</v>
      </c>
      <c r="I462">
        <v>175490</v>
      </c>
      <c r="J462">
        <v>96143</v>
      </c>
      <c r="K462">
        <v>79347</v>
      </c>
      <c r="L462">
        <v>185372</v>
      </c>
      <c r="M462">
        <v>-9882</v>
      </c>
      <c r="N462" t="s">
        <v>322</v>
      </c>
      <c r="O462" t="s">
        <v>189</v>
      </c>
    </row>
    <row r="463" spans="1:15" ht="15.75" customHeight="1" x14ac:dyDescent="0.2">
      <c r="A463" t="s">
        <v>424</v>
      </c>
      <c r="B463" t="s">
        <v>333</v>
      </c>
      <c r="C463" t="s">
        <v>269</v>
      </c>
      <c r="D463" t="s">
        <v>307</v>
      </c>
      <c r="E463" t="s">
        <v>318</v>
      </c>
      <c r="F463" t="s">
        <v>87</v>
      </c>
      <c r="G463">
        <v>160</v>
      </c>
      <c r="H463">
        <v>1745</v>
      </c>
      <c r="I463">
        <v>279200</v>
      </c>
      <c r="J463">
        <v>214039</v>
      </c>
      <c r="K463">
        <v>65161</v>
      </c>
      <c r="L463">
        <v>281466</v>
      </c>
      <c r="M463">
        <v>-2266</v>
      </c>
      <c r="N463" t="s">
        <v>341</v>
      </c>
      <c r="O463" t="s">
        <v>320</v>
      </c>
    </row>
    <row r="464" spans="1:15" ht="15.75" customHeight="1" x14ac:dyDescent="0.2">
      <c r="A464" t="s">
        <v>484</v>
      </c>
      <c r="B464" t="s">
        <v>271</v>
      </c>
      <c r="C464" t="s">
        <v>309</v>
      </c>
      <c r="D464" t="s">
        <v>95</v>
      </c>
      <c r="E464" t="s">
        <v>318</v>
      </c>
      <c r="F464" t="s">
        <v>87</v>
      </c>
      <c r="G464">
        <v>310</v>
      </c>
      <c r="H464">
        <v>1941</v>
      </c>
      <c r="I464">
        <v>601710</v>
      </c>
      <c r="J464">
        <v>370497</v>
      </c>
      <c r="K464">
        <v>231213</v>
      </c>
      <c r="L464">
        <v>592070</v>
      </c>
      <c r="M464">
        <v>9640</v>
      </c>
      <c r="N464" t="s">
        <v>322</v>
      </c>
      <c r="O464" t="s">
        <v>320</v>
      </c>
    </row>
    <row r="465" spans="1:15" ht="15.75" customHeight="1" x14ac:dyDescent="0.2">
      <c r="A465" t="s">
        <v>505</v>
      </c>
      <c r="B465" t="s">
        <v>271</v>
      </c>
      <c r="C465" t="s">
        <v>309</v>
      </c>
      <c r="D465" t="s">
        <v>340</v>
      </c>
      <c r="E465" t="s">
        <v>71</v>
      </c>
      <c r="F465" t="s">
        <v>70</v>
      </c>
      <c r="G465">
        <v>493</v>
      </c>
      <c r="H465">
        <v>1174</v>
      </c>
      <c r="I465">
        <v>578782</v>
      </c>
      <c r="J465">
        <v>437057</v>
      </c>
      <c r="K465">
        <v>141725</v>
      </c>
      <c r="L465">
        <v>583891</v>
      </c>
      <c r="M465">
        <v>-5109</v>
      </c>
      <c r="N465" t="s">
        <v>322</v>
      </c>
      <c r="O465" t="s">
        <v>189</v>
      </c>
    </row>
    <row r="466" spans="1:15" ht="15.75" customHeight="1" x14ac:dyDescent="0.2">
      <c r="A466" t="s">
        <v>249</v>
      </c>
      <c r="B466" t="s">
        <v>338</v>
      </c>
      <c r="C466" t="s">
        <v>348</v>
      </c>
      <c r="D466" t="s">
        <v>391</v>
      </c>
      <c r="E466" t="s">
        <v>71</v>
      </c>
      <c r="F466" t="s">
        <v>81</v>
      </c>
      <c r="G466">
        <v>142</v>
      </c>
      <c r="H466">
        <v>1978</v>
      </c>
      <c r="I466">
        <v>280876</v>
      </c>
      <c r="J466">
        <v>205074</v>
      </c>
      <c r="K466">
        <v>75802</v>
      </c>
      <c r="L466">
        <v>278608</v>
      </c>
      <c r="M466">
        <v>2268</v>
      </c>
      <c r="N466" t="s">
        <v>319</v>
      </c>
      <c r="O466" t="s">
        <v>320</v>
      </c>
    </row>
    <row r="467" spans="1:15" ht="15.75" customHeight="1" x14ac:dyDescent="0.2">
      <c r="A467" t="s">
        <v>447</v>
      </c>
      <c r="B467" t="s">
        <v>338</v>
      </c>
      <c r="C467" t="s">
        <v>339</v>
      </c>
      <c r="D467" t="s">
        <v>340</v>
      </c>
      <c r="E467" t="s">
        <v>71</v>
      </c>
      <c r="F467" t="s">
        <v>87</v>
      </c>
      <c r="G467">
        <v>29</v>
      </c>
      <c r="H467">
        <v>1556</v>
      </c>
      <c r="I467">
        <v>45124</v>
      </c>
      <c r="J467">
        <v>29031</v>
      </c>
      <c r="K467">
        <v>16093</v>
      </c>
      <c r="L467">
        <v>48558</v>
      </c>
      <c r="M467">
        <v>-3434</v>
      </c>
      <c r="N467" t="s">
        <v>341</v>
      </c>
      <c r="O467" t="s">
        <v>326</v>
      </c>
    </row>
    <row r="468" spans="1:15" ht="15.75" customHeight="1" x14ac:dyDescent="0.2">
      <c r="A468" t="s">
        <v>477</v>
      </c>
      <c r="B468" t="s">
        <v>271</v>
      </c>
      <c r="C468" t="s">
        <v>309</v>
      </c>
      <c r="D468" t="s">
        <v>69</v>
      </c>
      <c r="E468" t="s">
        <v>82</v>
      </c>
      <c r="F468" t="s">
        <v>92</v>
      </c>
      <c r="G468">
        <v>236</v>
      </c>
      <c r="H468">
        <v>778</v>
      </c>
      <c r="I468">
        <v>183608</v>
      </c>
      <c r="J468">
        <v>115975</v>
      </c>
      <c r="K468">
        <v>67633</v>
      </c>
      <c r="L468">
        <v>190420</v>
      </c>
      <c r="M468">
        <v>-6812</v>
      </c>
      <c r="N468" t="s">
        <v>322</v>
      </c>
      <c r="O468" t="s">
        <v>189</v>
      </c>
    </row>
    <row r="469" spans="1:15" ht="15.75" customHeight="1" x14ac:dyDescent="0.2">
      <c r="A469" t="s">
        <v>251</v>
      </c>
      <c r="B469" t="s">
        <v>333</v>
      </c>
      <c r="C469" t="s">
        <v>383</v>
      </c>
      <c r="D469" t="s">
        <v>335</v>
      </c>
      <c r="E469" t="s">
        <v>82</v>
      </c>
      <c r="F469" t="s">
        <v>92</v>
      </c>
      <c r="G469">
        <v>246</v>
      </c>
      <c r="H469">
        <v>1116</v>
      </c>
      <c r="I469">
        <v>274536</v>
      </c>
      <c r="J469">
        <v>193762</v>
      </c>
      <c r="K469">
        <v>80774</v>
      </c>
      <c r="L469">
        <v>288688</v>
      </c>
      <c r="M469">
        <v>-14152</v>
      </c>
      <c r="N469" t="s">
        <v>341</v>
      </c>
      <c r="O469" t="s">
        <v>326</v>
      </c>
    </row>
    <row r="470" spans="1:15" ht="15.75" customHeight="1" x14ac:dyDescent="0.2">
      <c r="A470" t="s">
        <v>401</v>
      </c>
      <c r="B470" t="s">
        <v>328</v>
      </c>
      <c r="C470" t="s">
        <v>359</v>
      </c>
      <c r="D470" t="s">
        <v>336</v>
      </c>
      <c r="E470" t="s">
        <v>325</v>
      </c>
      <c r="F470" t="s">
        <v>306</v>
      </c>
      <c r="G470">
        <v>188</v>
      </c>
      <c r="H470">
        <v>1592</v>
      </c>
      <c r="I470">
        <v>299296</v>
      </c>
      <c r="J470">
        <v>217964</v>
      </c>
      <c r="K470">
        <v>81332</v>
      </c>
      <c r="L470">
        <v>307045</v>
      </c>
      <c r="M470">
        <v>-7749</v>
      </c>
      <c r="N470" t="s">
        <v>319</v>
      </c>
      <c r="O470" t="s">
        <v>189</v>
      </c>
    </row>
    <row r="471" spans="1:15" ht="15.75" customHeight="1" x14ac:dyDescent="0.2">
      <c r="A471" t="s">
        <v>506</v>
      </c>
      <c r="B471" t="s">
        <v>328</v>
      </c>
      <c r="C471" t="s">
        <v>329</v>
      </c>
      <c r="D471" t="s">
        <v>355</v>
      </c>
      <c r="E471" t="s">
        <v>318</v>
      </c>
      <c r="F471" t="s">
        <v>199</v>
      </c>
      <c r="G471">
        <v>460</v>
      </c>
      <c r="H471">
        <v>1243</v>
      </c>
      <c r="I471">
        <v>571780</v>
      </c>
      <c r="J471">
        <v>431712</v>
      </c>
      <c r="K471">
        <v>140068</v>
      </c>
      <c r="L471">
        <v>588573</v>
      </c>
      <c r="M471">
        <v>-16793</v>
      </c>
      <c r="N471" t="s">
        <v>322</v>
      </c>
      <c r="O471" t="s">
        <v>189</v>
      </c>
    </row>
    <row r="472" spans="1:15" ht="15.75" customHeight="1" x14ac:dyDescent="0.2">
      <c r="A472" t="s">
        <v>507</v>
      </c>
      <c r="B472" t="s">
        <v>263</v>
      </c>
      <c r="C472" t="s">
        <v>347</v>
      </c>
      <c r="D472" t="s">
        <v>336</v>
      </c>
      <c r="E472" t="s">
        <v>82</v>
      </c>
      <c r="F472" t="s">
        <v>81</v>
      </c>
      <c r="G472">
        <v>186</v>
      </c>
      <c r="H472">
        <v>1577</v>
      </c>
      <c r="I472">
        <v>293322</v>
      </c>
      <c r="J472">
        <v>148886</v>
      </c>
      <c r="K472">
        <v>144436</v>
      </c>
      <c r="L472">
        <v>280618</v>
      </c>
      <c r="M472">
        <v>12704</v>
      </c>
      <c r="N472" t="s">
        <v>341</v>
      </c>
      <c r="O472" t="s">
        <v>326</v>
      </c>
    </row>
    <row r="473" spans="1:15" ht="15.75" customHeight="1" x14ac:dyDescent="0.2">
      <c r="A473" t="s">
        <v>135</v>
      </c>
      <c r="B473" t="s">
        <v>271</v>
      </c>
      <c r="C473" t="s">
        <v>270</v>
      </c>
      <c r="D473" t="s">
        <v>317</v>
      </c>
      <c r="E473" t="s">
        <v>71</v>
      </c>
      <c r="F473" t="s">
        <v>81</v>
      </c>
      <c r="G473">
        <v>116</v>
      </c>
      <c r="H473">
        <v>415</v>
      </c>
      <c r="I473">
        <v>48140</v>
      </c>
      <c r="J473">
        <v>29853</v>
      </c>
      <c r="K473">
        <v>18287</v>
      </c>
      <c r="L473">
        <v>56080</v>
      </c>
      <c r="M473">
        <v>-7940</v>
      </c>
      <c r="N473" t="s">
        <v>322</v>
      </c>
      <c r="O473" t="s">
        <v>189</v>
      </c>
    </row>
    <row r="474" spans="1:15" ht="15.75" customHeight="1" x14ac:dyDescent="0.2">
      <c r="A474" t="s">
        <v>109</v>
      </c>
      <c r="B474" t="s">
        <v>271</v>
      </c>
      <c r="C474" t="s">
        <v>309</v>
      </c>
      <c r="D474" t="s">
        <v>84</v>
      </c>
      <c r="E474" t="s">
        <v>325</v>
      </c>
      <c r="F474" t="s">
        <v>74</v>
      </c>
      <c r="G474">
        <v>242</v>
      </c>
      <c r="H474">
        <v>339</v>
      </c>
      <c r="I474">
        <v>82038</v>
      </c>
      <c r="J474">
        <v>62452</v>
      </c>
      <c r="K474">
        <v>19586</v>
      </c>
      <c r="L474">
        <v>92161</v>
      </c>
      <c r="M474">
        <v>-10123</v>
      </c>
      <c r="N474" t="s">
        <v>341</v>
      </c>
      <c r="O474" t="s">
        <v>320</v>
      </c>
    </row>
    <row r="475" spans="1:15" ht="15.75" customHeight="1" x14ac:dyDescent="0.2">
      <c r="A475" t="s">
        <v>411</v>
      </c>
      <c r="B475" t="s">
        <v>338</v>
      </c>
      <c r="C475" t="s">
        <v>345</v>
      </c>
      <c r="D475" t="s">
        <v>69</v>
      </c>
      <c r="E475" t="s">
        <v>82</v>
      </c>
      <c r="F475" t="s">
        <v>81</v>
      </c>
      <c r="G475">
        <v>455</v>
      </c>
      <c r="H475">
        <v>348</v>
      </c>
      <c r="I475">
        <v>158340</v>
      </c>
      <c r="J475">
        <v>134073</v>
      </c>
      <c r="K475">
        <v>24267</v>
      </c>
      <c r="L475">
        <v>158030</v>
      </c>
      <c r="M475">
        <v>310</v>
      </c>
      <c r="N475" t="s">
        <v>186</v>
      </c>
      <c r="O475" t="s">
        <v>189</v>
      </c>
    </row>
    <row r="476" spans="1:15" ht="15.75" customHeight="1" x14ac:dyDescent="0.2">
      <c r="A476" t="s">
        <v>116</v>
      </c>
      <c r="B476" t="s">
        <v>263</v>
      </c>
      <c r="C476" t="s">
        <v>276</v>
      </c>
      <c r="D476" t="s">
        <v>335</v>
      </c>
      <c r="E476" t="s">
        <v>318</v>
      </c>
      <c r="F476" t="s">
        <v>92</v>
      </c>
      <c r="G476">
        <v>54</v>
      </c>
      <c r="H476">
        <v>1707</v>
      </c>
      <c r="I476">
        <v>92178</v>
      </c>
      <c r="J476">
        <v>63246</v>
      </c>
      <c r="K476">
        <v>28932</v>
      </c>
      <c r="L476">
        <v>99304</v>
      </c>
      <c r="M476">
        <v>-7126</v>
      </c>
      <c r="N476" t="s">
        <v>319</v>
      </c>
      <c r="O476" t="s">
        <v>320</v>
      </c>
    </row>
    <row r="477" spans="1:15" ht="15.75" customHeight="1" x14ac:dyDescent="0.2">
      <c r="A477" t="s">
        <v>508</v>
      </c>
      <c r="B477" t="s">
        <v>263</v>
      </c>
      <c r="C477" t="s">
        <v>264</v>
      </c>
      <c r="D477" t="s">
        <v>223</v>
      </c>
      <c r="E477" t="s">
        <v>82</v>
      </c>
      <c r="F477" t="s">
        <v>87</v>
      </c>
      <c r="G477">
        <v>306</v>
      </c>
      <c r="H477">
        <v>885</v>
      </c>
      <c r="I477">
        <v>270810</v>
      </c>
      <c r="J477">
        <v>149231</v>
      </c>
      <c r="K477">
        <v>121579</v>
      </c>
      <c r="L477">
        <v>279197</v>
      </c>
      <c r="M477">
        <v>-8387</v>
      </c>
      <c r="N477" t="s">
        <v>322</v>
      </c>
      <c r="O477" t="s">
        <v>320</v>
      </c>
    </row>
    <row r="478" spans="1:15" ht="15.75" customHeight="1" x14ac:dyDescent="0.2">
      <c r="A478" t="s">
        <v>494</v>
      </c>
      <c r="B478" t="s">
        <v>338</v>
      </c>
      <c r="C478" t="s">
        <v>345</v>
      </c>
      <c r="D478" t="s">
        <v>324</v>
      </c>
      <c r="E478" t="s">
        <v>325</v>
      </c>
      <c r="F478" t="s">
        <v>92</v>
      </c>
      <c r="G478">
        <v>203</v>
      </c>
      <c r="H478">
        <v>1023</v>
      </c>
      <c r="I478">
        <v>207669</v>
      </c>
      <c r="J478">
        <v>163899</v>
      </c>
      <c r="K478">
        <v>43770</v>
      </c>
      <c r="L478">
        <v>222653</v>
      </c>
      <c r="M478">
        <v>-14984</v>
      </c>
      <c r="N478" t="s">
        <v>341</v>
      </c>
      <c r="O478" t="s">
        <v>331</v>
      </c>
    </row>
    <row r="479" spans="1:15" ht="15.75" customHeight="1" x14ac:dyDescent="0.2">
      <c r="A479" t="s">
        <v>405</v>
      </c>
      <c r="B479" t="s">
        <v>263</v>
      </c>
      <c r="C479" t="s">
        <v>347</v>
      </c>
      <c r="D479" t="s">
        <v>73</v>
      </c>
      <c r="E479" t="s">
        <v>71</v>
      </c>
      <c r="F479" t="s">
        <v>356</v>
      </c>
      <c r="G479">
        <v>125</v>
      </c>
      <c r="H479">
        <v>661</v>
      </c>
      <c r="I479">
        <v>82625</v>
      </c>
      <c r="J479">
        <v>44642</v>
      </c>
      <c r="K479">
        <v>37983</v>
      </c>
      <c r="L479">
        <v>85431</v>
      </c>
      <c r="M479">
        <v>-2806</v>
      </c>
      <c r="N479" t="s">
        <v>319</v>
      </c>
      <c r="O479" t="s">
        <v>331</v>
      </c>
    </row>
    <row r="480" spans="1:15" ht="15.75" customHeight="1" x14ac:dyDescent="0.2">
      <c r="A480" t="s">
        <v>505</v>
      </c>
      <c r="B480" t="s">
        <v>263</v>
      </c>
      <c r="C480" t="s">
        <v>280</v>
      </c>
      <c r="D480" t="s">
        <v>330</v>
      </c>
      <c r="E480" t="s">
        <v>82</v>
      </c>
      <c r="F480" t="s">
        <v>70</v>
      </c>
      <c r="G480">
        <v>84</v>
      </c>
      <c r="H480">
        <v>1127</v>
      </c>
      <c r="I480">
        <v>94668</v>
      </c>
      <c r="J480">
        <v>78989</v>
      </c>
      <c r="K480">
        <v>15679</v>
      </c>
      <c r="L480">
        <v>100921</v>
      </c>
      <c r="M480">
        <v>-6253</v>
      </c>
      <c r="N480" t="s">
        <v>319</v>
      </c>
      <c r="O480" t="s">
        <v>326</v>
      </c>
    </row>
    <row r="481" spans="1:15" ht="15.75" customHeight="1" x14ac:dyDescent="0.2">
      <c r="A481" t="s">
        <v>476</v>
      </c>
      <c r="B481" t="s">
        <v>328</v>
      </c>
      <c r="C481" t="s">
        <v>283</v>
      </c>
      <c r="D481" t="s">
        <v>360</v>
      </c>
      <c r="E481" t="s">
        <v>71</v>
      </c>
      <c r="F481" t="s">
        <v>74</v>
      </c>
      <c r="G481">
        <v>363</v>
      </c>
      <c r="H481">
        <v>1525</v>
      </c>
      <c r="I481">
        <v>553575</v>
      </c>
      <c r="J481">
        <v>364048</v>
      </c>
      <c r="K481">
        <v>189527</v>
      </c>
      <c r="L481">
        <v>564034</v>
      </c>
      <c r="M481">
        <v>-10459</v>
      </c>
      <c r="N481" t="s">
        <v>186</v>
      </c>
      <c r="O481" t="s">
        <v>189</v>
      </c>
    </row>
    <row r="482" spans="1:15" ht="15.75" customHeight="1" x14ac:dyDescent="0.2">
      <c r="A482" t="s">
        <v>459</v>
      </c>
      <c r="B482" t="s">
        <v>328</v>
      </c>
      <c r="C482" t="s">
        <v>367</v>
      </c>
      <c r="D482" t="s">
        <v>223</v>
      </c>
      <c r="E482" t="s">
        <v>71</v>
      </c>
      <c r="F482" t="s">
        <v>199</v>
      </c>
      <c r="G482">
        <v>30</v>
      </c>
      <c r="H482">
        <v>1511</v>
      </c>
      <c r="I482">
        <v>45330</v>
      </c>
      <c r="J482">
        <v>24103</v>
      </c>
      <c r="K482">
        <v>21227</v>
      </c>
      <c r="L482">
        <v>25534</v>
      </c>
      <c r="M482">
        <v>19796</v>
      </c>
      <c r="N482" t="s">
        <v>319</v>
      </c>
      <c r="O482" t="s">
        <v>331</v>
      </c>
    </row>
    <row r="483" spans="1:15" ht="15.75" customHeight="1" x14ac:dyDescent="0.2">
      <c r="A483" t="s">
        <v>509</v>
      </c>
      <c r="B483" t="s">
        <v>328</v>
      </c>
      <c r="C483" t="s">
        <v>367</v>
      </c>
      <c r="D483" t="s">
        <v>335</v>
      </c>
      <c r="E483" t="s">
        <v>82</v>
      </c>
      <c r="F483" t="s">
        <v>306</v>
      </c>
      <c r="G483">
        <v>322</v>
      </c>
      <c r="H483">
        <v>1962</v>
      </c>
      <c r="I483">
        <v>631764</v>
      </c>
      <c r="J483">
        <v>523236</v>
      </c>
      <c r="K483">
        <v>108528</v>
      </c>
      <c r="L483">
        <v>618142</v>
      </c>
      <c r="M483">
        <v>13622</v>
      </c>
      <c r="N483" t="s">
        <v>322</v>
      </c>
      <c r="O483" t="s">
        <v>320</v>
      </c>
    </row>
    <row r="484" spans="1:15" ht="15.75" customHeight="1" x14ac:dyDescent="0.2">
      <c r="A484" t="s">
        <v>439</v>
      </c>
      <c r="B484" t="s">
        <v>338</v>
      </c>
      <c r="C484" t="s">
        <v>339</v>
      </c>
      <c r="D484" t="s">
        <v>307</v>
      </c>
      <c r="E484" t="s">
        <v>82</v>
      </c>
      <c r="F484" t="s">
        <v>356</v>
      </c>
      <c r="G484">
        <v>491</v>
      </c>
      <c r="H484">
        <v>128</v>
      </c>
      <c r="I484">
        <v>62848</v>
      </c>
      <c r="J484">
        <v>36870</v>
      </c>
      <c r="K484">
        <v>25978</v>
      </c>
      <c r="L484">
        <v>51113</v>
      </c>
      <c r="M484">
        <v>11735</v>
      </c>
      <c r="N484" t="s">
        <v>341</v>
      </c>
      <c r="O484" t="s">
        <v>320</v>
      </c>
    </row>
    <row r="485" spans="1:15" ht="15.75" customHeight="1" x14ac:dyDescent="0.2">
      <c r="A485" t="s">
        <v>397</v>
      </c>
      <c r="B485" t="s">
        <v>328</v>
      </c>
      <c r="C485" t="s">
        <v>283</v>
      </c>
      <c r="D485" t="s">
        <v>273</v>
      </c>
      <c r="E485" t="s">
        <v>318</v>
      </c>
      <c r="F485" t="s">
        <v>81</v>
      </c>
      <c r="G485">
        <v>40</v>
      </c>
      <c r="H485">
        <v>1985</v>
      </c>
      <c r="I485">
        <v>79400</v>
      </c>
      <c r="J485">
        <v>65509</v>
      </c>
      <c r="K485">
        <v>13891</v>
      </c>
      <c r="L485">
        <v>60909</v>
      </c>
      <c r="M485">
        <v>18491</v>
      </c>
      <c r="N485" t="s">
        <v>319</v>
      </c>
      <c r="O485" t="s">
        <v>326</v>
      </c>
    </row>
    <row r="486" spans="1:15" ht="15.75" customHeight="1" x14ac:dyDescent="0.2">
      <c r="A486" t="s">
        <v>293</v>
      </c>
      <c r="B486" t="s">
        <v>271</v>
      </c>
      <c r="C486" t="s">
        <v>309</v>
      </c>
      <c r="D486" t="s">
        <v>324</v>
      </c>
      <c r="E486" t="s">
        <v>318</v>
      </c>
      <c r="F486" t="s">
        <v>87</v>
      </c>
      <c r="G486">
        <v>111</v>
      </c>
      <c r="H486">
        <v>603</v>
      </c>
      <c r="I486">
        <v>66933</v>
      </c>
      <c r="J486">
        <v>33749</v>
      </c>
      <c r="K486">
        <v>33184</v>
      </c>
      <c r="L486">
        <v>82430</v>
      </c>
      <c r="M486">
        <v>-15497</v>
      </c>
      <c r="N486" t="s">
        <v>186</v>
      </c>
      <c r="O486" t="s">
        <v>320</v>
      </c>
    </row>
    <row r="487" spans="1:15" ht="15.75" customHeight="1" x14ac:dyDescent="0.2">
      <c r="A487" t="s">
        <v>501</v>
      </c>
      <c r="B487" t="s">
        <v>271</v>
      </c>
      <c r="C487" t="s">
        <v>309</v>
      </c>
      <c r="D487" t="s">
        <v>273</v>
      </c>
      <c r="E487" t="s">
        <v>325</v>
      </c>
      <c r="F487" t="s">
        <v>87</v>
      </c>
      <c r="G487">
        <v>68</v>
      </c>
      <c r="H487">
        <v>1016</v>
      </c>
      <c r="I487">
        <v>69088</v>
      </c>
      <c r="J487">
        <v>44780</v>
      </c>
      <c r="K487">
        <v>24308</v>
      </c>
      <c r="L487">
        <v>67655</v>
      </c>
      <c r="M487">
        <v>1433</v>
      </c>
      <c r="N487" t="s">
        <v>186</v>
      </c>
      <c r="O487" t="s">
        <v>326</v>
      </c>
    </row>
    <row r="488" spans="1:15" ht="15.75" customHeight="1" x14ac:dyDescent="0.2">
      <c r="A488" t="s">
        <v>419</v>
      </c>
      <c r="B488" t="s">
        <v>338</v>
      </c>
      <c r="C488" t="s">
        <v>348</v>
      </c>
      <c r="D488" t="s">
        <v>223</v>
      </c>
      <c r="E488" t="s">
        <v>71</v>
      </c>
      <c r="F488" t="s">
        <v>70</v>
      </c>
      <c r="G488">
        <v>106</v>
      </c>
      <c r="H488">
        <v>359</v>
      </c>
      <c r="I488">
        <v>38054</v>
      </c>
      <c r="J488">
        <v>20786</v>
      </c>
      <c r="K488">
        <v>17268</v>
      </c>
      <c r="L488">
        <v>55286</v>
      </c>
      <c r="M488">
        <v>-17232</v>
      </c>
      <c r="N488" t="s">
        <v>341</v>
      </c>
      <c r="O488" t="s">
        <v>189</v>
      </c>
    </row>
    <row r="489" spans="1:15" ht="15.75" customHeight="1" x14ac:dyDescent="0.2">
      <c r="A489" t="s">
        <v>459</v>
      </c>
      <c r="B489" t="s">
        <v>338</v>
      </c>
      <c r="C489" t="s">
        <v>348</v>
      </c>
      <c r="D489" t="s">
        <v>360</v>
      </c>
      <c r="E489" t="s">
        <v>82</v>
      </c>
      <c r="F489" t="s">
        <v>74</v>
      </c>
      <c r="G489">
        <v>213</v>
      </c>
      <c r="H489">
        <v>391</v>
      </c>
      <c r="I489">
        <v>83283</v>
      </c>
      <c r="J489">
        <v>63668</v>
      </c>
      <c r="K489">
        <v>19615</v>
      </c>
      <c r="L489">
        <v>91849</v>
      </c>
      <c r="M489">
        <v>-8566</v>
      </c>
      <c r="N489" t="s">
        <v>319</v>
      </c>
      <c r="O489" t="s">
        <v>189</v>
      </c>
    </row>
    <row r="490" spans="1:15" ht="15.75" customHeight="1" x14ac:dyDescent="0.2">
      <c r="A490" t="s">
        <v>115</v>
      </c>
      <c r="B490" t="s">
        <v>271</v>
      </c>
      <c r="C490" t="s">
        <v>309</v>
      </c>
      <c r="D490" t="s">
        <v>77</v>
      </c>
      <c r="E490" t="s">
        <v>318</v>
      </c>
      <c r="F490" t="s">
        <v>306</v>
      </c>
      <c r="G490">
        <v>48</v>
      </c>
      <c r="H490">
        <v>1880</v>
      </c>
      <c r="I490">
        <v>90240</v>
      </c>
      <c r="J490">
        <v>70127</v>
      </c>
      <c r="K490">
        <v>20113</v>
      </c>
      <c r="L490">
        <v>103039</v>
      </c>
      <c r="M490">
        <v>-12799</v>
      </c>
      <c r="N490" t="s">
        <v>322</v>
      </c>
      <c r="O490" t="s">
        <v>189</v>
      </c>
    </row>
    <row r="491" spans="1:15" ht="15.75" customHeight="1" x14ac:dyDescent="0.2">
      <c r="A491" t="s">
        <v>377</v>
      </c>
      <c r="B491" t="s">
        <v>263</v>
      </c>
      <c r="C491" t="s">
        <v>354</v>
      </c>
      <c r="D491" t="s">
        <v>273</v>
      </c>
      <c r="E491" t="s">
        <v>325</v>
      </c>
      <c r="F491" t="s">
        <v>356</v>
      </c>
      <c r="G491">
        <v>123</v>
      </c>
      <c r="H491">
        <v>390</v>
      </c>
      <c r="I491">
        <v>47970</v>
      </c>
      <c r="J491">
        <v>28759</v>
      </c>
      <c r="K491">
        <v>19211</v>
      </c>
      <c r="L491">
        <v>35000</v>
      </c>
      <c r="M491">
        <v>12970</v>
      </c>
      <c r="N491" t="s">
        <v>341</v>
      </c>
      <c r="O491" t="s">
        <v>331</v>
      </c>
    </row>
    <row r="492" spans="1:15" ht="15.75" customHeight="1" x14ac:dyDescent="0.2">
      <c r="A492" t="s">
        <v>488</v>
      </c>
      <c r="B492" t="s">
        <v>338</v>
      </c>
      <c r="C492" t="s">
        <v>348</v>
      </c>
      <c r="D492" t="s">
        <v>317</v>
      </c>
      <c r="E492" t="s">
        <v>82</v>
      </c>
      <c r="F492" t="s">
        <v>70</v>
      </c>
      <c r="G492">
        <v>173</v>
      </c>
      <c r="H492">
        <v>1443</v>
      </c>
      <c r="I492">
        <v>249639</v>
      </c>
      <c r="J492">
        <v>205757</v>
      </c>
      <c r="K492">
        <v>43882</v>
      </c>
      <c r="L492">
        <v>260013</v>
      </c>
      <c r="M492">
        <v>-10374</v>
      </c>
      <c r="N492" t="s">
        <v>341</v>
      </c>
      <c r="O492" t="s">
        <v>326</v>
      </c>
    </row>
    <row r="493" spans="1:15" ht="15.75" customHeight="1" x14ac:dyDescent="0.2">
      <c r="A493" t="s">
        <v>232</v>
      </c>
      <c r="B493" t="s">
        <v>333</v>
      </c>
      <c r="C493" t="s">
        <v>383</v>
      </c>
      <c r="D493" t="s">
        <v>324</v>
      </c>
      <c r="E493" t="s">
        <v>71</v>
      </c>
      <c r="F493" t="s">
        <v>81</v>
      </c>
      <c r="G493">
        <v>18</v>
      </c>
      <c r="H493">
        <v>1350</v>
      </c>
      <c r="I493">
        <v>24300</v>
      </c>
      <c r="J493">
        <v>15043</v>
      </c>
      <c r="K493">
        <v>9257</v>
      </c>
      <c r="L493">
        <v>14545</v>
      </c>
      <c r="M493">
        <v>9755</v>
      </c>
      <c r="N493" t="s">
        <v>186</v>
      </c>
      <c r="O493" t="s">
        <v>320</v>
      </c>
    </row>
    <row r="494" spans="1:15" ht="15.75" customHeight="1" x14ac:dyDescent="0.2">
      <c r="A494" t="s">
        <v>358</v>
      </c>
      <c r="B494" t="s">
        <v>338</v>
      </c>
      <c r="C494" t="s">
        <v>345</v>
      </c>
      <c r="D494" t="s">
        <v>273</v>
      </c>
      <c r="E494" t="s">
        <v>82</v>
      </c>
      <c r="F494" t="s">
        <v>92</v>
      </c>
      <c r="G494">
        <v>62</v>
      </c>
      <c r="H494">
        <v>1830</v>
      </c>
      <c r="I494">
        <v>113460</v>
      </c>
      <c r="J494">
        <v>61062</v>
      </c>
      <c r="K494">
        <v>52398</v>
      </c>
      <c r="L494">
        <v>113538</v>
      </c>
      <c r="M494">
        <v>-78</v>
      </c>
      <c r="N494" t="s">
        <v>319</v>
      </c>
      <c r="O494" t="s">
        <v>189</v>
      </c>
    </row>
    <row r="495" spans="1:15" ht="15.75" customHeight="1" x14ac:dyDescent="0.2">
      <c r="A495" t="s">
        <v>358</v>
      </c>
      <c r="B495" t="s">
        <v>263</v>
      </c>
      <c r="C495" t="s">
        <v>354</v>
      </c>
      <c r="D495" t="s">
        <v>340</v>
      </c>
      <c r="E495" t="s">
        <v>318</v>
      </c>
      <c r="F495" t="s">
        <v>81</v>
      </c>
      <c r="G495">
        <v>279</v>
      </c>
      <c r="H495">
        <v>1127</v>
      </c>
      <c r="I495">
        <v>314433</v>
      </c>
      <c r="J495">
        <v>222120</v>
      </c>
      <c r="K495">
        <v>92313</v>
      </c>
      <c r="L495">
        <v>327354</v>
      </c>
      <c r="M495">
        <v>-12921</v>
      </c>
      <c r="N495" t="s">
        <v>319</v>
      </c>
      <c r="O495" t="s">
        <v>189</v>
      </c>
    </row>
    <row r="496" spans="1:15" ht="15.75" customHeight="1" x14ac:dyDescent="0.2">
      <c r="A496" t="s">
        <v>163</v>
      </c>
      <c r="B496" t="s">
        <v>271</v>
      </c>
      <c r="C496" t="s">
        <v>272</v>
      </c>
      <c r="D496" t="s">
        <v>324</v>
      </c>
      <c r="E496" t="s">
        <v>71</v>
      </c>
      <c r="F496" t="s">
        <v>70</v>
      </c>
      <c r="G496">
        <v>355</v>
      </c>
      <c r="H496">
        <v>1696</v>
      </c>
      <c r="I496">
        <v>602080</v>
      </c>
      <c r="J496">
        <v>504727</v>
      </c>
      <c r="K496">
        <v>97353</v>
      </c>
      <c r="L496">
        <v>595931</v>
      </c>
      <c r="M496">
        <v>6149</v>
      </c>
      <c r="N496" t="s">
        <v>186</v>
      </c>
      <c r="O496" t="s">
        <v>326</v>
      </c>
    </row>
    <row r="497" spans="1:15" ht="15.75" customHeight="1" x14ac:dyDescent="0.2">
      <c r="A497" t="s">
        <v>366</v>
      </c>
      <c r="B497" t="s">
        <v>328</v>
      </c>
      <c r="C497" t="s">
        <v>359</v>
      </c>
      <c r="D497" t="s">
        <v>77</v>
      </c>
      <c r="E497" t="s">
        <v>71</v>
      </c>
      <c r="F497" t="s">
        <v>81</v>
      </c>
      <c r="G497">
        <v>489</v>
      </c>
      <c r="H497">
        <v>906</v>
      </c>
      <c r="I497">
        <v>443034</v>
      </c>
      <c r="J497">
        <v>331343</v>
      </c>
      <c r="K497">
        <v>111691</v>
      </c>
      <c r="L497">
        <v>446767</v>
      </c>
      <c r="M497">
        <v>-3733</v>
      </c>
      <c r="N497" t="s">
        <v>341</v>
      </c>
      <c r="O497" t="s">
        <v>326</v>
      </c>
    </row>
    <row r="498" spans="1:15" ht="15.75" customHeight="1" x14ac:dyDescent="0.2">
      <c r="A498" t="s">
        <v>231</v>
      </c>
      <c r="B498" t="s">
        <v>338</v>
      </c>
      <c r="C498" t="s">
        <v>339</v>
      </c>
      <c r="D498" t="s">
        <v>95</v>
      </c>
      <c r="E498" t="s">
        <v>82</v>
      </c>
      <c r="F498" t="s">
        <v>87</v>
      </c>
      <c r="G498">
        <v>127</v>
      </c>
      <c r="H498">
        <v>385</v>
      </c>
      <c r="I498">
        <v>48895</v>
      </c>
      <c r="J498">
        <v>26281</v>
      </c>
      <c r="K498">
        <v>22614</v>
      </c>
      <c r="L498">
        <v>35953</v>
      </c>
      <c r="M498">
        <v>12942</v>
      </c>
      <c r="N498" t="s">
        <v>341</v>
      </c>
      <c r="O498" t="s">
        <v>320</v>
      </c>
    </row>
    <row r="499" spans="1:15" ht="15.75" customHeight="1" x14ac:dyDescent="0.2">
      <c r="A499" t="s">
        <v>510</v>
      </c>
      <c r="B499" t="s">
        <v>263</v>
      </c>
      <c r="C499" t="s">
        <v>347</v>
      </c>
      <c r="D499" t="s">
        <v>77</v>
      </c>
      <c r="E499" t="s">
        <v>325</v>
      </c>
      <c r="F499" t="s">
        <v>87</v>
      </c>
      <c r="G499">
        <v>121</v>
      </c>
      <c r="H499">
        <v>1832</v>
      </c>
      <c r="I499">
        <v>221672</v>
      </c>
      <c r="J499">
        <v>160681</v>
      </c>
      <c r="K499">
        <v>60991</v>
      </c>
      <c r="L499">
        <v>224940</v>
      </c>
      <c r="M499">
        <v>-3268</v>
      </c>
      <c r="N499" t="s">
        <v>322</v>
      </c>
      <c r="O499" t="s">
        <v>320</v>
      </c>
    </row>
    <row r="500" spans="1:15" ht="15.75" customHeight="1" x14ac:dyDescent="0.2">
      <c r="A500" t="s">
        <v>128</v>
      </c>
      <c r="B500" t="s">
        <v>338</v>
      </c>
      <c r="C500" t="s">
        <v>350</v>
      </c>
      <c r="D500" t="s">
        <v>84</v>
      </c>
      <c r="E500" t="s">
        <v>71</v>
      </c>
      <c r="F500" t="s">
        <v>92</v>
      </c>
      <c r="G500">
        <v>346</v>
      </c>
      <c r="H500">
        <v>1739</v>
      </c>
      <c r="I500">
        <v>601694</v>
      </c>
      <c r="J500">
        <v>465608</v>
      </c>
      <c r="K500">
        <v>136086</v>
      </c>
      <c r="L500">
        <v>615690</v>
      </c>
      <c r="M500">
        <v>-13996</v>
      </c>
      <c r="N500" t="s">
        <v>186</v>
      </c>
      <c r="O500" t="s">
        <v>189</v>
      </c>
    </row>
    <row r="501" spans="1:15" ht="15.75" customHeight="1" x14ac:dyDescent="0.2">
      <c r="A501" t="s">
        <v>253</v>
      </c>
      <c r="B501" t="s">
        <v>333</v>
      </c>
      <c r="C501" t="s">
        <v>383</v>
      </c>
      <c r="D501" t="s">
        <v>308</v>
      </c>
      <c r="E501" t="s">
        <v>71</v>
      </c>
      <c r="F501" t="s">
        <v>356</v>
      </c>
      <c r="G501">
        <v>198</v>
      </c>
      <c r="H501">
        <v>1918</v>
      </c>
      <c r="I501">
        <v>379764</v>
      </c>
      <c r="J501">
        <v>280608</v>
      </c>
      <c r="K501">
        <v>99156</v>
      </c>
      <c r="L501">
        <v>380957</v>
      </c>
      <c r="M501">
        <v>-1193</v>
      </c>
      <c r="N501" t="s">
        <v>186</v>
      </c>
      <c r="O501" t="s">
        <v>331</v>
      </c>
    </row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201"/>
  <sheetViews>
    <sheetView workbookViewId="0"/>
  </sheetViews>
  <sheetFormatPr defaultColWidth="14.390625" defaultRowHeight="15" customHeight="1" x14ac:dyDescent="0.2"/>
  <cols>
    <col min="1" max="1" width="11.703125" customWidth="1"/>
    <col min="2" max="2" width="15.33203125" customWidth="1"/>
    <col min="3" max="3" width="5.51171875" customWidth="1"/>
    <col min="4" max="4" width="9.55078125" customWidth="1"/>
    <col min="5" max="5" width="11.02734375" customWidth="1"/>
    <col min="6" max="6" width="10.4921875" customWidth="1"/>
    <col min="7" max="8" width="8.7421875" customWidth="1"/>
    <col min="9" max="9" width="11.703125" customWidth="1"/>
    <col min="10" max="10" width="10.0859375" customWidth="1"/>
    <col min="11" max="12" width="8.7421875" customWidth="1"/>
  </cols>
  <sheetData>
    <row r="1" spans="1:12" x14ac:dyDescent="0.2">
      <c r="A1" s="20" t="s">
        <v>180</v>
      </c>
      <c r="B1" s="20" t="s">
        <v>63</v>
      </c>
      <c r="C1" s="20" t="s">
        <v>511</v>
      </c>
      <c r="D1" s="20" t="s">
        <v>65</v>
      </c>
      <c r="E1" s="20" t="s">
        <v>512</v>
      </c>
      <c r="F1" s="20" t="s">
        <v>59</v>
      </c>
      <c r="G1" s="20" t="s">
        <v>513</v>
      </c>
    </row>
    <row r="2" spans="1:12" x14ac:dyDescent="0.2">
      <c r="A2" s="20" t="s">
        <v>514</v>
      </c>
      <c r="B2" s="20" t="s">
        <v>515</v>
      </c>
      <c r="C2" s="20">
        <v>17</v>
      </c>
      <c r="D2" s="20">
        <v>368.09</v>
      </c>
      <c r="E2" s="20">
        <f t="shared" ref="E2:E201" si="0">C2*D2</f>
        <v>6257.53</v>
      </c>
      <c r="F2" s="20" t="s">
        <v>450</v>
      </c>
      <c r="G2" s="20" t="str">
        <f t="shared" ref="G2:G201" si="1">TEXT(F2,"yyyy")</f>
        <v>2025</v>
      </c>
      <c r="I2" s="20" t="s">
        <v>180</v>
      </c>
      <c r="J2" s="20" t="s">
        <v>5</v>
      </c>
      <c r="K2" s="20" t="s">
        <v>516</v>
      </c>
      <c r="L2" s="20" t="s">
        <v>517</v>
      </c>
    </row>
    <row r="3" spans="1:12" x14ac:dyDescent="0.2">
      <c r="A3" s="20" t="s">
        <v>514</v>
      </c>
      <c r="B3" s="20" t="s">
        <v>515</v>
      </c>
      <c r="C3" s="20">
        <v>10</v>
      </c>
      <c r="D3" s="20">
        <v>459.77</v>
      </c>
      <c r="E3" s="20">
        <f t="shared" si="0"/>
        <v>4597.7</v>
      </c>
      <c r="F3" s="20" t="s">
        <v>518</v>
      </c>
      <c r="G3" s="20" t="str">
        <f t="shared" si="1"/>
        <v>2024</v>
      </c>
      <c r="I3" s="20" t="s">
        <v>519</v>
      </c>
      <c r="J3" s="20">
        <f>DSUM(A1:F201,E1,I2:I4)</f>
        <v>381513.77999999991</v>
      </c>
      <c r="K3" s="20">
        <f>DAVERAGE(A1:G201,E1,I2:I3)</f>
        <v>9305.1715999999997</v>
      </c>
      <c r="L3" s="20">
        <f>DCOUNT(A1:G201,E1,I2:I3)</f>
        <v>25</v>
      </c>
    </row>
    <row r="4" spans="1:12" x14ac:dyDescent="0.2">
      <c r="A4" s="20" t="s">
        <v>514</v>
      </c>
      <c r="B4" s="20" t="s">
        <v>520</v>
      </c>
      <c r="C4" s="20">
        <v>32</v>
      </c>
      <c r="D4" s="20">
        <v>485.27</v>
      </c>
      <c r="E4" s="20">
        <f t="shared" si="0"/>
        <v>15528.64</v>
      </c>
      <c r="F4" s="20" t="s">
        <v>521</v>
      </c>
      <c r="G4" s="20" t="str">
        <f t="shared" si="1"/>
        <v>2024</v>
      </c>
      <c r="I4" s="20" t="s">
        <v>71</v>
      </c>
      <c r="J4" s="20"/>
      <c r="K4" s="20"/>
      <c r="L4" s="20"/>
    </row>
    <row r="5" spans="1:12" x14ac:dyDescent="0.2">
      <c r="A5" s="20" t="s">
        <v>522</v>
      </c>
      <c r="B5" s="20" t="s">
        <v>523</v>
      </c>
      <c r="C5" s="20">
        <v>37</v>
      </c>
      <c r="D5" s="20">
        <v>99.89</v>
      </c>
      <c r="E5" s="20">
        <f t="shared" si="0"/>
        <v>3695.93</v>
      </c>
      <c r="F5" s="20" t="s">
        <v>524</v>
      </c>
      <c r="G5" s="20" t="str">
        <f t="shared" si="1"/>
        <v>2025</v>
      </c>
    </row>
    <row r="6" spans="1:12" x14ac:dyDescent="0.2">
      <c r="A6" s="20" t="s">
        <v>522</v>
      </c>
      <c r="B6" s="20" t="s">
        <v>525</v>
      </c>
      <c r="C6" s="20">
        <v>1</v>
      </c>
      <c r="D6" s="20">
        <v>378.83</v>
      </c>
      <c r="E6" s="20">
        <f t="shared" si="0"/>
        <v>378.83</v>
      </c>
      <c r="F6" s="20" t="s">
        <v>526</v>
      </c>
      <c r="G6" s="20" t="str">
        <f t="shared" si="1"/>
        <v>2025</v>
      </c>
    </row>
    <row r="7" spans="1:12" x14ac:dyDescent="0.2">
      <c r="A7" s="20" t="s">
        <v>527</v>
      </c>
      <c r="B7" s="20" t="s">
        <v>528</v>
      </c>
      <c r="C7" s="20">
        <v>48</v>
      </c>
      <c r="D7" s="20">
        <v>387.25</v>
      </c>
      <c r="E7" s="20">
        <f t="shared" si="0"/>
        <v>18588</v>
      </c>
      <c r="F7" s="20" t="s">
        <v>75</v>
      </c>
      <c r="G7" s="20" t="str">
        <f t="shared" si="1"/>
        <v>2025</v>
      </c>
      <c r="I7" s="20" t="s">
        <v>180</v>
      </c>
      <c r="J7" s="20" t="s">
        <v>513</v>
      </c>
      <c r="K7" s="20" t="s">
        <v>5</v>
      </c>
    </row>
    <row r="8" spans="1:12" x14ac:dyDescent="0.2">
      <c r="A8" s="20" t="s">
        <v>529</v>
      </c>
      <c r="B8" s="20" t="s">
        <v>530</v>
      </c>
      <c r="C8" s="20">
        <v>3</v>
      </c>
      <c r="D8" s="20">
        <v>435.35</v>
      </c>
      <c r="E8" s="20">
        <f t="shared" si="0"/>
        <v>1306.0500000000002</v>
      </c>
      <c r="F8" s="20" t="s">
        <v>531</v>
      </c>
      <c r="G8" s="20" t="str">
        <f t="shared" si="1"/>
        <v>2024</v>
      </c>
      <c r="I8" s="20" t="s">
        <v>532</v>
      </c>
      <c r="J8" s="20">
        <v>2025</v>
      </c>
      <c r="K8" s="20">
        <f>DSUM(A1:G201,E1,I7:J8)</f>
        <v>66772.36</v>
      </c>
    </row>
    <row r="9" spans="1:12" x14ac:dyDescent="0.2">
      <c r="A9" s="20" t="s">
        <v>527</v>
      </c>
      <c r="B9" s="20" t="s">
        <v>528</v>
      </c>
      <c r="C9" s="20">
        <v>7</v>
      </c>
      <c r="D9" s="20">
        <v>391.02</v>
      </c>
      <c r="E9" s="20">
        <f t="shared" si="0"/>
        <v>2737.14</v>
      </c>
      <c r="F9" s="20" t="s">
        <v>533</v>
      </c>
      <c r="G9" s="20" t="str">
        <f t="shared" si="1"/>
        <v>2024</v>
      </c>
    </row>
    <row r="10" spans="1:12" x14ac:dyDescent="0.2">
      <c r="A10" s="20" t="s">
        <v>514</v>
      </c>
      <c r="B10" s="20" t="s">
        <v>534</v>
      </c>
      <c r="C10" s="20">
        <v>14</v>
      </c>
      <c r="D10" s="20">
        <v>456.82</v>
      </c>
      <c r="E10" s="20">
        <f t="shared" si="0"/>
        <v>6395.48</v>
      </c>
      <c r="F10" s="20" t="s">
        <v>535</v>
      </c>
      <c r="G10" s="20" t="str">
        <f t="shared" si="1"/>
        <v>2025</v>
      </c>
    </row>
    <row r="11" spans="1:12" x14ac:dyDescent="0.2">
      <c r="A11" s="20" t="s">
        <v>536</v>
      </c>
      <c r="B11" s="20" t="s">
        <v>537</v>
      </c>
      <c r="C11" s="20">
        <v>11</v>
      </c>
      <c r="D11" s="20">
        <v>298.60000000000002</v>
      </c>
      <c r="E11" s="20">
        <f t="shared" si="0"/>
        <v>3284.6000000000004</v>
      </c>
      <c r="F11" s="20" t="s">
        <v>538</v>
      </c>
      <c r="G11" s="20" t="str">
        <f t="shared" si="1"/>
        <v>2024</v>
      </c>
    </row>
    <row r="12" spans="1:12" x14ac:dyDescent="0.2">
      <c r="A12" s="20" t="s">
        <v>527</v>
      </c>
      <c r="B12" s="20" t="s">
        <v>539</v>
      </c>
      <c r="C12" s="20">
        <v>45</v>
      </c>
      <c r="D12" s="20">
        <v>36.39</v>
      </c>
      <c r="E12" s="20">
        <f t="shared" si="0"/>
        <v>1637.55</v>
      </c>
      <c r="F12" s="20" t="s">
        <v>540</v>
      </c>
      <c r="G12" s="20" t="str">
        <f t="shared" si="1"/>
        <v>2024</v>
      </c>
    </row>
    <row r="13" spans="1:12" x14ac:dyDescent="0.2">
      <c r="A13" s="20" t="s">
        <v>527</v>
      </c>
      <c r="B13" s="20" t="s">
        <v>541</v>
      </c>
      <c r="C13" s="20">
        <v>2</v>
      </c>
      <c r="D13" s="20">
        <v>422.55</v>
      </c>
      <c r="E13" s="20">
        <f t="shared" si="0"/>
        <v>845.1</v>
      </c>
      <c r="F13" s="20" t="s">
        <v>542</v>
      </c>
      <c r="G13" s="20" t="str">
        <f t="shared" si="1"/>
        <v>2024</v>
      </c>
    </row>
    <row r="14" spans="1:12" x14ac:dyDescent="0.2">
      <c r="A14" s="20" t="s">
        <v>529</v>
      </c>
      <c r="B14" s="20" t="s">
        <v>543</v>
      </c>
      <c r="C14" s="20">
        <v>3</v>
      </c>
      <c r="D14" s="20">
        <v>293.97000000000003</v>
      </c>
      <c r="E14" s="20">
        <f t="shared" si="0"/>
        <v>881.91000000000008</v>
      </c>
      <c r="F14" s="20" t="s">
        <v>476</v>
      </c>
      <c r="G14" s="20" t="str">
        <f t="shared" si="1"/>
        <v>2025</v>
      </c>
    </row>
    <row r="15" spans="1:12" x14ac:dyDescent="0.2">
      <c r="A15" s="20" t="s">
        <v>71</v>
      </c>
      <c r="B15" s="20" t="s">
        <v>92</v>
      </c>
      <c r="C15" s="20">
        <v>40</v>
      </c>
      <c r="D15" s="20">
        <v>157.1</v>
      </c>
      <c r="E15" s="20">
        <f t="shared" si="0"/>
        <v>6284</v>
      </c>
      <c r="F15" s="20" t="s">
        <v>544</v>
      </c>
      <c r="G15" s="20" t="str">
        <f t="shared" si="1"/>
        <v>2024</v>
      </c>
    </row>
    <row r="16" spans="1:12" x14ac:dyDescent="0.2">
      <c r="A16" s="20" t="s">
        <v>522</v>
      </c>
      <c r="B16" s="20" t="s">
        <v>545</v>
      </c>
      <c r="C16" s="20">
        <v>2</v>
      </c>
      <c r="D16" s="20">
        <v>488.13</v>
      </c>
      <c r="E16" s="20">
        <f t="shared" si="0"/>
        <v>976.26</v>
      </c>
      <c r="F16" s="20" t="s">
        <v>75</v>
      </c>
      <c r="G16" s="20" t="str">
        <f t="shared" si="1"/>
        <v>2025</v>
      </c>
    </row>
    <row r="17" spans="1:7" x14ac:dyDescent="0.2">
      <c r="A17" s="20" t="s">
        <v>546</v>
      </c>
      <c r="B17" s="20" t="s">
        <v>547</v>
      </c>
      <c r="C17" s="20">
        <v>39</v>
      </c>
      <c r="D17" s="20">
        <v>65.349999999999994</v>
      </c>
      <c r="E17" s="20">
        <f t="shared" si="0"/>
        <v>2548.6499999999996</v>
      </c>
      <c r="F17" s="20" t="s">
        <v>486</v>
      </c>
      <c r="G17" s="20" t="str">
        <f t="shared" si="1"/>
        <v>2025</v>
      </c>
    </row>
    <row r="18" spans="1:7" x14ac:dyDescent="0.2">
      <c r="A18" s="20" t="s">
        <v>546</v>
      </c>
      <c r="B18" s="20" t="s">
        <v>548</v>
      </c>
      <c r="C18" s="20">
        <v>46</v>
      </c>
      <c r="D18" s="20">
        <v>16.66</v>
      </c>
      <c r="E18" s="20">
        <f t="shared" si="0"/>
        <v>766.36</v>
      </c>
      <c r="F18" s="20" t="s">
        <v>400</v>
      </c>
      <c r="G18" s="20" t="str">
        <f t="shared" si="1"/>
        <v>2025</v>
      </c>
    </row>
    <row r="19" spans="1:7" x14ac:dyDescent="0.2">
      <c r="A19" s="20" t="s">
        <v>549</v>
      </c>
      <c r="B19" s="20" t="s">
        <v>550</v>
      </c>
      <c r="C19" s="20">
        <v>37</v>
      </c>
      <c r="D19" s="20">
        <v>220.16</v>
      </c>
      <c r="E19" s="20">
        <f t="shared" si="0"/>
        <v>8145.92</v>
      </c>
      <c r="F19" s="20" t="s">
        <v>170</v>
      </c>
      <c r="G19" s="20" t="str">
        <f t="shared" si="1"/>
        <v>2025</v>
      </c>
    </row>
    <row r="20" spans="1:7" x14ac:dyDescent="0.2">
      <c r="A20" s="20" t="s">
        <v>546</v>
      </c>
      <c r="B20" s="20" t="s">
        <v>212</v>
      </c>
      <c r="C20" s="20">
        <v>15</v>
      </c>
      <c r="D20" s="20">
        <v>256.73</v>
      </c>
      <c r="E20" s="20">
        <f t="shared" si="0"/>
        <v>3850.9500000000003</v>
      </c>
      <c r="F20" s="20" t="s">
        <v>551</v>
      </c>
      <c r="G20" s="20" t="str">
        <f t="shared" si="1"/>
        <v>2024</v>
      </c>
    </row>
    <row r="21" spans="1:7" ht="15.75" customHeight="1" x14ac:dyDescent="0.2">
      <c r="A21" s="20" t="s">
        <v>527</v>
      </c>
      <c r="B21" s="20" t="s">
        <v>552</v>
      </c>
      <c r="C21" s="20">
        <v>50</v>
      </c>
      <c r="D21" s="20">
        <v>322.44</v>
      </c>
      <c r="E21" s="20">
        <f t="shared" si="0"/>
        <v>16122</v>
      </c>
      <c r="F21" s="20" t="s">
        <v>553</v>
      </c>
      <c r="G21" s="20" t="str">
        <f t="shared" si="1"/>
        <v>2024</v>
      </c>
    </row>
    <row r="22" spans="1:7" ht="15.75" customHeight="1" x14ac:dyDescent="0.2">
      <c r="A22" s="20" t="s">
        <v>514</v>
      </c>
      <c r="B22" s="20" t="s">
        <v>554</v>
      </c>
      <c r="C22" s="20">
        <v>27</v>
      </c>
      <c r="D22" s="20">
        <v>447.06</v>
      </c>
      <c r="E22" s="20">
        <f t="shared" si="0"/>
        <v>12070.62</v>
      </c>
      <c r="F22" s="20" t="s">
        <v>555</v>
      </c>
      <c r="G22" s="20" t="str">
        <f t="shared" si="1"/>
        <v>2025</v>
      </c>
    </row>
    <row r="23" spans="1:7" ht="15.75" customHeight="1" x14ac:dyDescent="0.2">
      <c r="A23" s="20" t="s">
        <v>527</v>
      </c>
      <c r="B23" s="20" t="s">
        <v>541</v>
      </c>
      <c r="C23" s="20">
        <v>37</v>
      </c>
      <c r="D23" s="20">
        <v>71.5</v>
      </c>
      <c r="E23" s="20">
        <f t="shared" si="0"/>
        <v>2645.5</v>
      </c>
      <c r="F23" s="20" t="s">
        <v>556</v>
      </c>
      <c r="G23" s="20" t="str">
        <f t="shared" si="1"/>
        <v>2024</v>
      </c>
    </row>
    <row r="24" spans="1:7" ht="15.75" customHeight="1" x14ac:dyDescent="0.2">
      <c r="A24" s="20" t="s">
        <v>529</v>
      </c>
      <c r="B24" s="20" t="s">
        <v>557</v>
      </c>
      <c r="C24" s="20">
        <v>30</v>
      </c>
      <c r="D24" s="20">
        <v>436.85</v>
      </c>
      <c r="E24" s="20">
        <f t="shared" si="0"/>
        <v>13105.5</v>
      </c>
      <c r="F24" s="20" t="s">
        <v>405</v>
      </c>
      <c r="G24" s="20" t="str">
        <f t="shared" si="1"/>
        <v>2025</v>
      </c>
    </row>
    <row r="25" spans="1:7" ht="15.75" customHeight="1" x14ac:dyDescent="0.2">
      <c r="A25" s="20" t="s">
        <v>536</v>
      </c>
      <c r="B25" s="20" t="s">
        <v>558</v>
      </c>
      <c r="C25" s="20">
        <v>42</v>
      </c>
      <c r="D25" s="20">
        <v>410.67</v>
      </c>
      <c r="E25" s="20">
        <f t="shared" si="0"/>
        <v>17248.14</v>
      </c>
      <c r="F25" s="20" t="s">
        <v>150</v>
      </c>
      <c r="G25" s="20" t="str">
        <f t="shared" si="1"/>
        <v>2025</v>
      </c>
    </row>
    <row r="26" spans="1:7" ht="15.75" customHeight="1" x14ac:dyDescent="0.2">
      <c r="A26" s="20" t="s">
        <v>522</v>
      </c>
      <c r="B26" s="20" t="s">
        <v>545</v>
      </c>
      <c r="C26" s="20">
        <v>33</v>
      </c>
      <c r="D26" s="20">
        <v>279.17</v>
      </c>
      <c r="E26" s="20">
        <f t="shared" si="0"/>
        <v>9212.61</v>
      </c>
      <c r="F26" s="20" t="s">
        <v>148</v>
      </c>
      <c r="G26" s="20" t="str">
        <f t="shared" si="1"/>
        <v>2025</v>
      </c>
    </row>
    <row r="27" spans="1:7" ht="15.75" customHeight="1" x14ac:dyDescent="0.2">
      <c r="A27" s="20" t="s">
        <v>527</v>
      </c>
      <c r="B27" s="20" t="s">
        <v>541</v>
      </c>
      <c r="C27" s="20">
        <v>38</v>
      </c>
      <c r="D27" s="20">
        <v>115.28</v>
      </c>
      <c r="E27" s="20">
        <f t="shared" si="0"/>
        <v>4380.6400000000003</v>
      </c>
      <c r="F27" s="20" t="s">
        <v>559</v>
      </c>
      <c r="G27" s="20" t="str">
        <f t="shared" si="1"/>
        <v>2025</v>
      </c>
    </row>
    <row r="28" spans="1:7" ht="15.75" customHeight="1" x14ac:dyDescent="0.2">
      <c r="A28" s="20" t="s">
        <v>546</v>
      </c>
      <c r="B28" s="20" t="s">
        <v>560</v>
      </c>
      <c r="C28" s="20">
        <v>7</v>
      </c>
      <c r="D28" s="20">
        <v>19.71</v>
      </c>
      <c r="E28" s="20">
        <f t="shared" si="0"/>
        <v>137.97</v>
      </c>
      <c r="F28" s="20" t="s">
        <v>395</v>
      </c>
      <c r="G28" s="20" t="str">
        <f t="shared" si="1"/>
        <v>2025</v>
      </c>
    </row>
    <row r="29" spans="1:7" ht="15.75" customHeight="1" x14ac:dyDescent="0.2">
      <c r="A29" s="20" t="s">
        <v>529</v>
      </c>
      <c r="B29" s="20" t="s">
        <v>557</v>
      </c>
      <c r="C29" s="20">
        <v>23</v>
      </c>
      <c r="D29" s="20">
        <v>400.4</v>
      </c>
      <c r="E29" s="20">
        <f t="shared" si="0"/>
        <v>9209.1999999999989</v>
      </c>
      <c r="F29" s="20" t="s">
        <v>561</v>
      </c>
      <c r="G29" s="20" t="str">
        <f t="shared" si="1"/>
        <v>2024</v>
      </c>
    </row>
    <row r="30" spans="1:7" ht="15.75" customHeight="1" x14ac:dyDescent="0.2">
      <c r="A30" s="20" t="s">
        <v>536</v>
      </c>
      <c r="B30" s="20" t="s">
        <v>562</v>
      </c>
      <c r="C30" s="20">
        <v>42</v>
      </c>
      <c r="D30" s="20">
        <v>142.1</v>
      </c>
      <c r="E30" s="20">
        <f t="shared" si="0"/>
        <v>5968.2</v>
      </c>
      <c r="F30" s="20" t="s">
        <v>419</v>
      </c>
      <c r="G30" s="20" t="str">
        <f t="shared" si="1"/>
        <v>2025</v>
      </c>
    </row>
    <row r="31" spans="1:7" ht="15.75" customHeight="1" x14ac:dyDescent="0.2">
      <c r="A31" s="20" t="s">
        <v>71</v>
      </c>
      <c r="B31" s="20" t="s">
        <v>74</v>
      </c>
      <c r="C31" s="20">
        <v>50</v>
      </c>
      <c r="D31" s="20">
        <v>20.76</v>
      </c>
      <c r="E31" s="20">
        <f t="shared" si="0"/>
        <v>1038</v>
      </c>
      <c r="F31" s="20" t="s">
        <v>500</v>
      </c>
      <c r="G31" s="20" t="str">
        <f t="shared" si="1"/>
        <v>2025</v>
      </c>
    </row>
    <row r="32" spans="1:7" ht="15.75" customHeight="1" x14ac:dyDescent="0.2">
      <c r="A32" s="20" t="s">
        <v>529</v>
      </c>
      <c r="B32" s="20" t="s">
        <v>543</v>
      </c>
      <c r="C32" s="20">
        <v>8</v>
      </c>
      <c r="D32" s="20">
        <v>465.09</v>
      </c>
      <c r="E32" s="20">
        <f t="shared" si="0"/>
        <v>3720.72</v>
      </c>
      <c r="F32" s="20" t="s">
        <v>158</v>
      </c>
      <c r="G32" s="20" t="str">
        <f t="shared" si="1"/>
        <v>2025</v>
      </c>
    </row>
    <row r="33" spans="1:7" ht="15.75" customHeight="1" x14ac:dyDescent="0.2">
      <c r="A33" s="20" t="s">
        <v>536</v>
      </c>
      <c r="B33" s="20" t="s">
        <v>558</v>
      </c>
      <c r="C33" s="20">
        <v>9</v>
      </c>
      <c r="D33" s="20">
        <v>222.39</v>
      </c>
      <c r="E33" s="20">
        <f t="shared" si="0"/>
        <v>2001.5099999999998</v>
      </c>
      <c r="F33" s="20" t="s">
        <v>158</v>
      </c>
      <c r="G33" s="20" t="str">
        <f t="shared" si="1"/>
        <v>2025</v>
      </c>
    </row>
    <row r="34" spans="1:7" ht="15.75" customHeight="1" x14ac:dyDescent="0.2">
      <c r="A34" s="20" t="s">
        <v>536</v>
      </c>
      <c r="B34" s="20" t="s">
        <v>563</v>
      </c>
      <c r="C34" s="20">
        <v>2</v>
      </c>
      <c r="D34" s="20">
        <v>75.680000000000007</v>
      </c>
      <c r="E34" s="20">
        <f t="shared" si="0"/>
        <v>151.36000000000001</v>
      </c>
      <c r="F34" s="20" t="s">
        <v>130</v>
      </c>
      <c r="G34" s="20" t="str">
        <f t="shared" si="1"/>
        <v>2025</v>
      </c>
    </row>
    <row r="35" spans="1:7" ht="15.75" customHeight="1" x14ac:dyDescent="0.2">
      <c r="A35" s="20" t="s">
        <v>527</v>
      </c>
      <c r="B35" s="20" t="s">
        <v>528</v>
      </c>
      <c r="C35" s="20">
        <v>9</v>
      </c>
      <c r="D35" s="20">
        <v>174.79</v>
      </c>
      <c r="E35" s="20">
        <f t="shared" si="0"/>
        <v>1573.11</v>
      </c>
      <c r="F35" s="20" t="s">
        <v>564</v>
      </c>
      <c r="G35" s="20" t="str">
        <f t="shared" si="1"/>
        <v>2024</v>
      </c>
    </row>
    <row r="36" spans="1:7" ht="15.75" customHeight="1" x14ac:dyDescent="0.2">
      <c r="A36" s="20" t="s">
        <v>529</v>
      </c>
      <c r="B36" s="20" t="s">
        <v>543</v>
      </c>
      <c r="C36" s="20">
        <v>3</v>
      </c>
      <c r="D36" s="20">
        <v>212.3</v>
      </c>
      <c r="E36" s="20">
        <f t="shared" si="0"/>
        <v>636.90000000000009</v>
      </c>
      <c r="F36" s="20" t="s">
        <v>400</v>
      </c>
      <c r="G36" s="20" t="str">
        <f t="shared" si="1"/>
        <v>2025</v>
      </c>
    </row>
    <row r="37" spans="1:7" ht="15.75" customHeight="1" x14ac:dyDescent="0.2">
      <c r="A37" s="20" t="s">
        <v>71</v>
      </c>
      <c r="B37" s="20" t="s">
        <v>92</v>
      </c>
      <c r="C37" s="20">
        <v>44</v>
      </c>
      <c r="D37" s="20">
        <v>263.44</v>
      </c>
      <c r="E37" s="20">
        <f t="shared" si="0"/>
        <v>11591.36</v>
      </c>
      <c r="F37" s="20" t="s">
        <v>174</v>
      </c>
      <c r="G37" s="20" t="str">
        <f t="shared" si="1"/>
        <v>2025</v>
      </c>
    </row>
    <row r="38" spans="1:7" ht="15.75" customHeight="1" x14ac:dyDescent="0.2">
      <c r="A38" s="20" t="s">
        <v>522</v>
      </c>
      <c r="B38" s="20" t="s">
        <v>523</v>
      </c>
      <c r="C38" s="20">
        <v>11</v>
      </c>
      <c r="D38" s="20">
        <v>493.59</v>
      </c>
      <c r="E38" s="20">
        <f t="shared" si="0"/>
        <v>5429.49</v>
      </c>
      <c r="F38" s="20" t="s">
        <v>402</v>
      </c>
      <c r="G38" s="20" t="str">
        <f t="shared" si="1"/>
        <v>2025</v>
      </c>
    </row>
    <row r="39" spans="1:7" ht="15.75" customHeight="1" x14ac:dyDescent="0.2">
      <c r="A39" s="20" t="s">
        <v>549</v>
      </c>
      <c r="B39" s="20" t="s">
        <v>565</v>
      </c>
      <c r="C39" s="20">
        <v>5</v>
      </c>
      <c r="D39" s="20">
        <v>67.739999999999995</v>
      </c>
      <c r="E39" s="20">
        <f t="shared" si="0"/>
        <v>338.7</v>
      </c>
      <c r="F39" s="20" t="s">
        <v>566</v>
      </c>
      <c r="G39" s="20" t="str">
        <f t="shared" si="1"/>
        <v>2024</v>
      </c>
    </row>
    <row r="40" spans="1:7" ht="15.75" customHeight="1" x14ac:dyDescent="0.2">
      <c r="A40" s="20" t="s">
        <v>527</v>
      </c>
      <c r="B40" s="20" t="s">
        <v>528</v>
      </c>
      <c r="C40" s="20">
        <v>46</v>
      </c>
      <c r="D40" s="20">
        <v>319.13</v>
      </c>
      <c r="E40" s="20">
        <f t="shared" si="0"/>
        <v>14679.98</v>
      </c>
      <c r="F40" s="20" t="s">
        <v>567</v>
      </c>
      <c r="G40" s="20" t="str">
        <f t="shared" si="1"/>
        <v>2024</v>
      </c>
    </row>
    <row r="41" spans="1:7" ht="15.75" customHeight="1" x14ac:dyDescent="0.2">
      <c r="A41" s="20" t="s">
        <v>529</v>
      </c>
      <c r="B41" s="20" t="s">
        <v>557</v>
      </c>
      <c r="C41" s="20">
        <v>24</v>
      </c>
      <c r="D41" s="20">
        <v>306.77</v>
      </c>
      <c r="E41" s="20">
        <f t="shared" si="0"/>
        <v>7362.48</v>
      </c>
      <c r="F41" s="20" t="s">
        <v>409</v>
      </c>
      <c r="G41" s="20" t="str">
        <f t="shared" si="1"/>
        <v>2025</v>
      </c>
    </row>
    <row r="42" spans="1:7" ht="15.75" customHeight="1" x14ac:dyDescent="0.2">
      <c r="A42" s="20" t="s">
        <v>529</v>
      </c>
      <c r="B42" s="20" t="s">
        <v>568</v>
      </c>
      <c r="C42" s="20">
        <v>21</v>
      </c>
      <c r="D42" s="20">
        <v>419.53</v>
      </c>
      <c r="E42" s="20">
        <f t="shared" si="0"/>
        <v>8810.1299999999992</v>
      </c>
      <c r="F42" s="20" t="s">
        <v>559</v>
      </c>
      <c r="G42" s="20" t="str">
        <f t="shared" si="1"/>
        <v>2025</v>
      </c>
    </row>
    <row r="43" spans="1:7" ht="15.75" customHeight="1" x14ac:dyDescent="0.2">
      <c r="A43" s="20" t="s">
        <v>71</v>
      </c>
      <c r="B43" s="20" t="s">
        <v>78</v>
      </c>
      <c r="C43" s="20">
        <v>16</v>
      </c>
      <c r="D43" s="20">
        <v>148.79</v>
      </c>
      <c r="E43" s="20">
        <f t="shared" si="0"/>
        <v>2380.64</v>
      </c>
      <c r="F43" s="20" t="s">
        <v>473</v>
      </c>
      <c r="G43" s="20" t="str">
        <f t="shared" si="1"/>
        <v>2025</v>
      </c>
    </row>
    <row r="44" spans="1:7" ht="15.75" customHeight="1" x14ac:dyDescent="0.2">
      <c r="A44" s="20" t="s">
        <v>522</v>
      </c>
      <c r="B44" s="20" t="s">
        <v>545</v>
      </c>
      <c r="C44" s="20">
        <v>26</v>
      </c>
      <c r="D44" s="20">
        <v>294.77</v>
      </c>
      <c r="E44" s="20">
        <f t="shared" si="0"/>
        <v>7664.0199999999995</v>
      </c>
      <c r="F44" s="20" t="s">
        <v>544</v>
      </c>
      <c r="G44" s="20" t="str">
        <f t="shared" si="1"/>
        <v>2024</v>
      </c>
    </row>
    <row r="45" spans="1:7" ht="15.75" customHeight="1" x14ac:dyDescent="0.2">
      <c r="A45" s="20" t="s">
        <v>527</v>
      </c>
      <c r="B45" s="20" t="s">
        <v>528</v>
      </c>
      <c r="C45" s="20">
        <v>38</v>
      </c>
      <c r="D45" s="20">
        <v>423.28</v>
      </c>
      <c r="E45" s="20">
        <f t="shared" si="0"/>
        <v>16084.64</v>
      </c>
      <c r="F45" s="20" t="s">
        <v>165</v>
      </c>
      <c r="G45" s="20" t="str">
        <f t="shared" si="1"/>
        <v>2025</v>
      </c>
    </row>
    <row r="46" spans="1:7" ht="15.75" customHeight="1" x14ac:dyDescent="0.2">
      <c r="A46" s="20" t="s">
        <v>546</v>
      </c>
      <c r="B46" s="20" t="s">
        <v>569</v>
      </c>
      <c r="C46" s="20">
        <v>11</v>
      </c>
      <c r="D46" s="20">
        <v>470.04</v>
      </c>
      <c r="E46" s="20">
        <f t="shared" si="0"/>
        <v>5170.4400000000005</v>
      </c>
      <c r="F46" s="20" t="s">
        <v>112</v>
      </c>
      <c r="G46" s="20" t="str">
        <f t="shared" si="1"/>
        <v>2025</v>
      </c>
    </row>
    <row r="47" spans="1:7" ht="15.75" customHeight="1" x14ac:dyDescent="0.2">
      <c r="A47" s="20" t="s">
        <v>546</v>
      </c>
      <c r="B47" s="20" t="s">
        <v>548</v>
      </c>
      <c r="C47" s="20">
        <v>8</v>
      </c>
      <c r="D47" s="20">
        <v>282.3</v>
      </c>
      <c r="E47" s="20">
        <f t="shared" si="0"/>
        <v>2258.4</v>
      </c>
      <c r="F47" s="20" t="s">
        <v>167</v>
      </c>
      <c r="G47" s="20" t="str">
        <f t="shared" si="1"/>
        <v>2025</v>
      </c>
    </row>
    <row r="48" spans="1:7" ht="15.75" customHeight="1" x14ac:dyDescent="0.2">
      <c r="A48" s="20" t="s">
        <v>529</v>
      </c>
      <c r="B48" s="20" t="s">
        <v>570</v>
      </c>
      <c r="C48" s="20">
        <v>25</v>
      </c>
      <c r="D48" s="20">
        <v>474.76</v>
      </c>
      <c r="E48" s="20">
        <f t="shared" si="0"/>
        <v>11869</v>
      </c>
      <c r="F48" s="20" t="s">
        <v>571</v>
      </c>
      <c r="G48" s="20" t="str">
        <f t="shared" si="1"/>
        <v>2024</v>
      </c>
    </row>
    <row r="49" spans="1:7" ht="15.75" customHeight="1" x14ac:dyDescent="0.2">
      <c r="A49" s="20" t="s">
        <v>514</v>
      </c>
      <c r="B49" s="20" t="s">
        <v>572</v>
      </c>
      <c r="C49" s="20">
        <v>49</v>
      </c>
      <c r="D49" s="20">
        <v>496.65</v>
      </c>
      <c r="E49" s="20">
        <f t="shared" si="0"/>
        <v>24335.85</v>
      </c>
      <c r="F49" s="20" t="s">
        <v>220</v>
      </c>
      <c r="G49" s="20" t="str">
        <f t="shared" si="1"/>
        <v>2025</v>
      </c>
    </row>
    <row r="50" spans="1:7" ht="15.75" customHeight="1" x14ac:dyDescent="0.2">
      <c r="A50" s="20" t="s">
        <v>527</v>
      </c>
      <c r="B50" s="20" t="s">
        <v>528</v>
      </c>
      <c r="C50" s="20">
        <v>23</v>
      </c>
      <c r="D50" s="20">
        <v>257.14</v>
      </c>
      <c r="E50" s="20">
        <f t="shared" si="0"/>
        <v>5914.2199999999993</v>
      </c>
      <c r="F50" s="20" t="s">
        <v>573</v>
      </c>
      <c r="G50" s="20" t="str">
        <f t="shared" si="1"/>
        <v>2024</v>
      </c>
    </row>
    <row r="51" spans="1:7" ht="15.75" customHeight="1" x14ac:dyDescent="0.2">
      <c r="A51" s="20" t="s">
        <v>527</v>
      </c>
      <c r="B51" s="20" t="s">
        <v>539</v>
      </c>
      <c r="C51" s="20">
        <v>9</v>
      </c>
      <c r="D51" s="20">
        <v>332.8</v>
      </c>
      <c r="E51" s="20">
        <f t="shared" si="0"/>
        <v>2995.2000000000003</v>
      </c>
      <c r="F51" s="20" t="s">
        <v>145</v>
      </c>
      <c r="G51" s="20" t="str">
        <f t="shared" si="1"/>
        <v>2025</v>
      </c>
    </row>
    <row r="52" spans="1:7" ht="15.75" customHeight="1" x14ac:dyDescent="0.2">
      <c r="A52" s="20" t="s">
        <v>514</v>
      </c>
      <c r="B52" s="20" t="s">
        <v>554</v>
      </c>
      <c r="C52" s="20">
        <v>17</v>
      </c>
      <c r="D52" s="20">
        <v>64.78</v>
      </c>
      <c r="E52" s="20">
        <f t="shared" si="0"/>
        <v>1101.26</v>
      </c>
      <c r="F52" s="20" t="s">
        <v>477</v>
      </c>
      <c r="G52" s="20" t="str">
        <f t="shared" si="1"/>
        <v>2025</v>
      </c>
    </row>
    <row r="53" spans="1:7" ht="15.75" customHeight="1" x14ac:dyDescent="0.2">
      <c r="A53" s="20" t="s">
        <v>546</v>
      </c>
      <c r="B53" s="20" t="s">
        <v>548</v>
      </c>
      <c r="C53" s="20">
        <v>22</v>
      </c>
      <c r="D53" s="20">
        <v>155.30000000000001</v>
      </c>
      <c r="E53" s="20">
        <f t="shared" si="0"/>
        <v>3416.6000000000004</v>
      </c>
      <c r="F53" s="20" t="s">
        <v>143</v>
      </c>
      <c r="G53" s="20" t="str">
        <f t="shared" si="1"/>
        <v>2025</v>
      </c>
    </row>
    <row r="54" spans="1:7" ht="15.75" customHeight="1" x14ac:dyDescent="0.2">
      <c r="A54" s="20" t="s">
        <v>514</v>
      </c>
      <c r="B54" s="20" t="s">
        <v>572</v>
      </c>
      <c r="C54" s="20">
        <v>41</v>
      </c>
      <c r="D54" s="20">
        <v>404.11</v>
      </c>
      <c r="E54" s="20">
        <f t="shared" si="0"/>
        <v>16568.510000000002</v>
      </c>
      <c r="F54" s="20" t="s">
        <v>574</v>
      </c>
      <c r="G54" s="20" t="str">
        <f t="shared" si="1"/>
        <v>2024</v>
      </c>
    </row>
    <row r="55" spans="1:7" ht="15.75" customHeight="1" x14ac:dyDescent="0.2">
      <c r="A55" s="20" t="s">
        <v>529</v>
      </c>
      <c r="B55" s="20" t="s">
        <v>568</v>
      </c>
      <c r="C55" s="20">
        <v>8</v>
      </c>
      <c r="D55" s="20">
        <v>162.66</v>
      </c>
      <c r="E55" s="20">
        <f t="shared" si="0"/>
        <v>1301.28</v>
      </c>
      <c r="F55" s="20" t="s">
        <v>575</v>
      </c>
      <c r="G55" s="20" t="str">
        <f t="shared" si="1"/>
        <v>2025</v>
      </c>
    </row>
    <row r="56" spans="1:7" ht="15.75" customHeight="1" x14ac:dyDescent="0.2">
      <c r="A56" s="20" t="s">
        <v>546</v>
      </c>
      <c r="B56" s="20" t="s">
        <v>548</v>
      </c>
      <c r="C56" s="20">
        <v>49</v>
      </c>
      <c r="D56" s="20">
        <v>493.32</v>
      </c>
      <c r="E56" s="20">
        <f t="shared" si="0"/>
        <v>24172.68</v>
      </c>
      <c r="F56" s="20" t="s">
        <v>576</v>
      </c>
      <c r="G56" s="20" t="str">
        <f t="shared" si="1"/>
        <v>2025</v>
      </c>
    </row>
    <row r="57" spans="1:7" ht="15.75" customHeight="1" x14ac:dyDescent="0.2">
      <c r="A57" s="20" t="s">
        <v>549</v>
      </c>
      <c r="B57" s="20" t="s">
        <v>565</v>
      </c>
      <c r="C57" s="20">
        <v>49</v>
      </c>
      <c r="D57" s="20">
        <v>395.76</v>
      </c>
      <c r="E57" s="20">
        <f t="shared" si="0"/>
        <v>19392.239999999998</v>
      </c>
      <c r="F57" s="20" t="s">
        <v>577</v>
      </c>
      <c r="G57" s="20" t="str">
        <f t="shared" si="1"/>
        <v>2024</v>
      </c>
    </row>
    <row r="58" spans="1:7" ht="15.75" customHeight="1" x14ac:dyDescent="0.2">
      <c r="A58" s="20" t="s">
        <v>529</v>
      </c>
      <c r="B58" s="20" t="s">
        <v>530</v>
      </c>
      <c r="C58" s="20">
        <v>34</v>
      </c>
      <c r="D58" s="20">
        <v>445.18</v>
      </c>
      <c r="E58" s="20">
        <f t="shared" si="0"/>
        <v>15136.12</v>
      </c>
      <c r="F58" s="20" t="s">
        <v>509</v>
      </c>
      <c r="G58" s="20" t="str">
        <f t="shared" si="1"/>
        <v>2025</v>
      </c>
    </row>
    <row r="59" spans="1:7" ht="15.75" customHeight="1" x14ac:dyDescent="0.2">
      <c r="A59" s="20" t="s">
        <v>514</v>
      </c>
      <c r="B59" s="20" t="s">
        <v>554</v>
      </c>
      <c r="C59" s="20">
        <v>7</v>
      </c>
      <c r="D59" s="20">
        <v>411.15</v>
      </c>
      <c r="E59" s="20">
        <f t="shared" si="0"/>
        <v>2878.0499999999997</v>
      </c>
      <c r="F59" s="20" t="s">
        <v>139</v>
      </c>
      <c r="G59" s="20" t="str">
        <f t="shared" si="1"/>
        <v>2025</v>
      </c>
    </row>
    <row r="60" spans="1:7" ht="15.75" customHeight="1" x14ac:dyDescent="0.2">
      <c r="A60" s="20" t="s">
        <v>71</v>
      </c>
      <c r="B60" s="20" t="s">
        <v>78</v>
      </c>
      <c r="C60" s="20">
        <v>48</v>
      </c>
      <c r="D60" s="20">
        <v>426.44</v>
      </c>
      <c r="E60" s="20">
        <f t="shared" si="0"/>
        <v>20469.12</v>
      </c>
      <c r="F60" s="20" t="s">
        <v>376</v>
      </c>
      <c r="G60" s="20" t="str">
        <f t="shared" si="1"/>
        <v>2025</v>
      </c>
    </row>
    <row r="61" spans="1:7" ht="15.75" customHeight="1" x14ac:dyDescent="0.2">
      <c r="A61" s="20" t="s">
        <v>71</v>
      </c>
      <c r="B61" s="20" t="s">
        <v>74</v>
      </c>
      <c r="C61" s="20">
        <v>18</v>
      </c>
      <c r="D61" s="20">
        <v>363.07</v>
      </c>
      <c r="E61" s="20">
        <f t="shared" si="0"/>
        <v>6535.26</v>
      </c>
      <c r="F61" s="20" t="s">
        <v>526</v>
      </c>
      <c r="G61" s="20" t="str">
        <f t="shared" si="1"/>
        <v>2025</v>
      </c>
    </row>
    <row r="62" spans="1:7" ht="15.75" customHeight="1" x14ac:dyDescent="0.2">
      <c r="A62" s="20" t="s">
        <v>514</v>
      </c>
      <c r="B62" s="20" t="s">
        <v>515</v>
      </c>
      <c r="C62" s="20">
        <v>43</v>
      </c>
      <c r="D62" s="20">
        <v>15.7</v>
      </c>
      <c r="E62" s="20">
        <f t="shared" si="0"/>
        <v>675.1</v>
      </c>
      <c r="F62" s="20" t="s">
        <v>578</v>
      </c>
      <c r="G62" s="20" t="str">
        <f t="shared" si="1"/>
        <v>2024</v>
      </c>
    </row>
    <row r="63" spans="1:7" ht="15.75" customHeight="1" x14ac:dyDescent="0.2">
      <c r="A63" s="20" t="s">
        <v>536</v>
      </c>
      <c r="B63" s="20" t="s">
        <v>563</v>
      </c>
      <c r="C63" s="20">
        <v>44</v>
      </c>
      <c r="D63" s="20">
        <v>465.76</v>
      </c>
      <c r="E63" s="20">
        <f t="shared" si="0"/>
        <v>20493.439999999999</v>
      </c>
      <c r="F63" s="20" t="s">
        <v>579</v>
      </c>
      <c r="G63" s="20" t="str">
        <f t="shared" si="1"/>
        <v>2024</v>
      </c>
    </row>
    <row r="64" spans="1:7" ht="15.75" customHeight="1" x14ac:dyDescent="0.2">
      <c r="A64" s="20" t="s">
        <v>522</v>
      </c>
      <c r="B64" s="20" t="s">
        <v>525</v>
      </c>
      <c r="C64" s="20">
        <v>24</v>
      </c>
      <c r="D64" s="20">
        <v>179.9</v>
      </c>
      <c r="E64" s="20">
        <f t="shared" si="0"/>
        <v>4317.6000000000004</v>
      </c>
      <c r="F64" s="20" t="s">
        <v>433</v>
      </c>
      <c r="G64" s="20" t="str">
        <f t="shared" si="1"/>
        <v>2025</v>
      </c>
    </row>
    <row r="65" spans="1:7" ht="15.75" customHeight="1" x14ac:dyDescent="0.2">
      <c r="A65" s="20" t="s">
        <v>527</v>
      </c>
      <c r="B65" s="20" t="s">
        <v>541</v>
      </c>
      <c r="C65" s="20">
        <v>29</v>
      </c>
      <c r="D65" s="20">
        <v>340.65</v>
      </c>
      <c r="E65" s="20">
        <f t="shared" si="0"/>
        <v>9878.8499999999985</v>
      </c>
      <c r="F65" s="20" t="s">
        <v>580</v>
      </c>
      <c r="G65" s="20" t="str">
        <f t="shared" si="1"/>
        <v>2024</v>
      </c>
    </row>
    <row r="66" spans="1:7" ht="15.75" customHeight="1" x14ac:dyDescent="0.2">
      <c r="A66" s="20" t="s">
        <v>549</v>
      </c>
      <c r="B66" s="20" t="s">
        <v>550</v>
      </c>
      <c r="C66" s="20">
        <v>22</v>
      </c>
      <c r="D66" s="20">
        <v>77.11</v>
      </c>
      <c r="E66" s="20">
        <f t="shared" si="0"/>
        <v>1696.42</v>
      </c>
      <c r="F66" s="20" t="s">
        <v>117</v>
      </c>
      <c r="G66" s="20" t="str">
        <f t="shared" si="1"/>
        <v>2025</v>
      </c>
    </row>
    <row r="67" spans="1:7" ht="15.75" customHeight="1" x14ac:dyDescent="0.2">
      <c r="A67" s="20" t="s">
        <v>529</v>
      </c>
      <c r="B67" s="20" t="s">
        <v>570</v>
      </c>
      <c r="C67" s="20">
        <v>44</v>
      </c>
      <c r="D67" s="20">
        <v>203.19</v>
      </c>
      <c r="E67" s="20">
        <f t="shared" si="0"/>
        <v>8940.36</v>
      </c>
      <c r="F67" s="20" t="s">
        <v>115</v>
      </c>
      <c r="G67" s="20" t="str">
        <f t="shared" si="1"/>
        <v>2025</v>
      </c>
    </row>
    <row r="68" spans="1:7" ht="15.75" customHeight="1" x14ac:dyDescent="0.2">
      <c r="A68" s="20" t="s">
        <v>546</v>
      </c>
      <c r="B68" s="20" t="s">
        <v>548</v>
      </c>
      <c r="C68" s="20">
        <v>46</v>
      </c>
      <c r="D68" s="20">
        <v>8.0500000000000007</v>
      </c>
      <c r="E68" s="20">
        <f t="shared" si="0"/>
        <v>370.3</v>
      </c>
      <c r="F68" s="20" t="s">
        <v>581</v>
      </c>
      <c r="G68" s="20" t="str">
        <f t="shared" si="1"/>
        <v>2024</v>
      </c>
    </row>
    <row r="69" spans="1:7" ht="15.75" customHeight="1" x14ac:dyDescent="0.2">
      <c r="A69" s="20" t="s">
        <v>522</v>
      </c>
      <c r="B69" s="20" t="s">
        <v>582</v>
      </c>
      <c r="C69" s="20">
        <v>20</v>
      </c>
      <c r="D69" s="20">
        <v>163.16</v>
      </c>
      <c r="E69" s="20">
        <f t="shared" si="0"/>
        <v>3263.2</v>
      </c>
      <c r="F69" s="20" t="s">
        <v>583</v>
      </c>
      <c r="G69" s="20" t="str">
        <f t="shared" si="1"/>
        <v>2024</v>
      </c>
    </row>
    <row r="70" spans="1:7" ht="15.75" customHeight="1" x14ac:dyDescent="0.2">
      <c r="A70" s="20" t="s">
        <v>71</v>
      </c>
      <c r="B70" s="20" t="s">
        <v>92</v>
      </c>
      <c r="C70" s="20">
        <v>16</v>
      </c>
      <c r="D70" s="20">
        <v>197.31</v>
      </c>
      <c r="E70" s="20">
        <f t="shared" si="0"/>
        <v>3156.96</v>
      </c>
      <c r="F70" s="20" t="s">
        <v>584</v>
      </c>
      <c r="G70" s="20" t="str">
        <f t="shared" si="1"/>
        <v>2024</v>
      </c>
    </row>
    <row r="71" spans="1:7" ht="15.75" customHeight="1" x14ac:dyDescent="0.2">
      <c r="A71" s="20" t="s">
        <v>529</v>
      </c>
      <c r="B71" s="20" t="s">
        <v>530</v>
      </c>
      <c r="C71" s="20">
        <v>46</v>
      </c>
      <c r="D71" s="20">
        <v>489.06</v>
      </c>
      <c r="E71" s="20">
        <f t="shared" si="0"/>
        <v>22496.76</v>
      </c>
      <c r="F71" s="20" t="s">
        <v>398</v>
      </c>
      <c r="G71" s="20" t="str">
        <f t="shared" si="1"/>
        <v>2025</v>
      </c>
    </row>
    <row r="72" spans="1:7" ht="15.75" customHeight="1" x14ac:dyDescent="0.2">
      <c r="A72" s="20" t="s">
        <v>536</v>
      </c>
      <c r="B72" s="20" t="s">
        <v>563</v>
      </c>
      <c r="C72" s="20">
        <v>5</v>
      </c>
      <c r="D72" s="20">
        <v>50.56</v>
      </c>
      <c r="E72" s="20">
        <f t="shared" si="0"/>
        <v>252.8</v>
      </c>
      <c r="F72" s="20" t="s">
        <v>402</v>
      </c>
      <c r="G72" s="20" t="str">
        <f t="shared" si="1"/>
        <v>2025</v>
      </c>
    </row>
    <row r="73" spans="1:7" ht="15.75" customHeight="1" x14ac:dyDescent="0.2">
      <c r="A73" s="20" t="s">
        <v>546</v>
      </c>
      <c r="B73" s="20" t="s">
        <v>548</v>
      </c>
      <c r="C73" s="20">
        <v>4</v>
      </c>
      <c r="D73" s="20">
        <v>262.75</v>
      </c>
      <c r="E73" s="20">
        <f t="shared" si="0"/>
        <v>1051</v>
      </c>
      <c r="F73" s="20" t="s">
        <v>488</v>
      </c>
      <c r="G73" s="20" t="str">
        <f t="shared" si="1"/>
        <v>2025</v>
      </c>
    </row>
    <row r="74" spans="1:7" ht="15.75" customHeight="1" x14ac:dyDescent="0.2">
      <c r="A74" s="20" t="s">
        <v>546</v>
      </c>
      <c r="B74" s="20" t="s">
        <v>569</v>
      </c>
      <c r="C74" s="20">
        <v>16</v>
      </c>
      <c r="D74" s="20">
        <v>157.24</v>
      </c>
      <c r="E74" s="20">
        <f t="shared" si="0"/>
        <v>2515.84</v>
      </c>
      <c r="F74" s="20" t="s">
        <v>585</v>
      </c>
      <c r="G74" s="20" t="str">
        <f t="shared" si="1"/>
        <v>2024</v>
      </c>
    </row>
    <row r="75" spans="1:7" ht="15.75" customHeight="1" x14ac:dyDescent="0.2">
      <c r="A75" s="20" t="s">
        <v>514</v>
      </c>
      <c r="B75" s="20" t="s">
        <v>515</v>
      </c>
      <c r="C75" s="20">
        <v>35</v>
      </c>
      <c r="D75" s="20">
        <v>411.05</v>
      </c>
      <c r="E75" s="20">
        <f t="shared" si="0"/>
        <v>14386.75</v>
      </c>
      <c r="F75" s="20" t="s">
        <v>160</v>
      </c>
      <c r="G75" s="20" t="str">
        <f t="shared" si="1"/>
        <v>2025</v>
      </c>
    </row>
    <row r="76" spans="1:7" ht="15.75" customHeight="1" x14ac:dyDescent="0.2">
      <c r="A76" s="20" t="s">
        <v>549</v>
      </c>
      <c r="B76" s="20" t="s">
        <v>565</v>
      </c>
      <c r="C76" s="20">
        <v>14</v>
      </c>
      <c r="D76" s="20">
        <v>361.78</v>
      </c>
      <c r="E76" s="20">
        <f t="shared" si="0"/>
        <v>5064.92</v>
      </c>
      <c r="F76" s="20" t="s">
        <v>586</v>
      </c>
      <c r="G76" s="20" t="str">
        <f t="shared" si="1"/>
        <v>2024</v>
      </c>
    </row>
    <row r="77" spans="1:7" ht="15.75" customHeight="1" x14ac:dyDescent="0.2">
      <c r="A77" s="20" t="s">
        <v>529</v>
      </c>
      <c r="B77" s="20" t="s">
        <v>543</v>
      </c>
      <c r="C77" s="20">
        <v>41</v>
      </c>
      <c r="D77" s="20">
        <v>292.83999999999997</v>
      </c>
      <c r="E77" s="20">
        <f t="shared" si="0"/>
        <v>12006.439999999999</v>
      </c>
      <c r="F77" s="20" t="s">
        <v>587</v>
      </c>
      <c r="G77" s="20" t="str">
        <f t="shared" si="1"/>
        <v>2024</v>
      </c>
    </row>
    <row r="78" spans="1:7" ht="15.75" customHeight="1" x14ac:dyDescent="0.2">
      <c r="A78" s="20" t="s">
        <v>527</v>
      </c>
      <c r="B78" s="20" t="s">
        <v>552</v>
      </c>
      <c r="C78" s="20">
        <v>14</v>
      </c>
      <c r="D78" s="20">
        <v>175.62</v>
      </c>
      <c r="E78" s="20">
        <f t="shared" si="0"/>
        <v>2458.6800000000003</v>
      </c>
      <c r="F78" s="20" t="s">
        <v>588</v>
      </c>
      <c r="G78" s="20" t="str">
        <f t="shared" si="1"/>
        <v>2024</v>
      </c>
    </row>
    <row r="79" spans="1:7" ht="15.75" customHeight="1" x14ac:dyDescent="0.2">
      <c r="A79" s="20" t="s">
        <v>546</v>
      </c>
      <c r="B79" s="20" t="s">
        <v>560</v>
      </c>
      <c r="C79" s="20">
        <v>2</v>
      </c>
      <c r="D79" s="20">
        <v>459.3</v>
      </c>
      <c r="E79" s="20">
        <f t="shared" si="0"/>
        <v>918.6</v>
      </c>
      <c r="F79" s="20" t="s">
        <v>589</v>
      </c>
      <c r="G79" s="20" t="str">
        <f t="shared" si="1"/>
        <v>2025</v>
      </c>
    </row>
    <row r="80" spans="1:7" ht="15.75" customHeight="1" x14ac:dyDescent="0.2">
      <c r="A80" s="20" t="s">
        <v>549</v>
      </c>
      <c r="B80" s="20" t="s">
        <v>550</v>
      </c>
      <c r="C80" s="20">
        <v>6</v>
      </c>
      <c r="D80" s="20">
        <v>258.27</v>
      </c>
      <c r="E80" s="20">
        <f t="shared" si="0"/>
        <v>1549.62</v>
      </c>
      <c r="F80" s="20" t="s">
        <v>590</v>
      </c>
      <c r="G80" s="20" t="str">
        <f t="shared" si="1"/>
        <v>2024</v>
      </c>
    </row>
    <row r="81" spans="1:7" ht="15.75" customHeight="1" x14ac:dyDescent="0.2">
      <c r="A81" s="20" t="s">
        <v>549</v>
      </c>
      <c r="B81" s="20" t="s">
        <v>565</v>
      </c>
      <c r="C81" s="20">
        <v>34</v>
      </c>
      <c r="D81" s="20">
        <v>324.49</v>
      </c>
      <c r="E81" s="20">
        <f t="shared" si="0"/>
        <v>11032.66</v>
      </c>
      <c r="F81" s="20" t="s">
        <v>410</v>
      </c>
      <c r="G81" s="20" t="str">
        <f t="shared" si="1"/>
        <v>2025</v>
      </c>
    </row>
    <row r="82" spans="1:7" ht="15.75" customHeight="1" x14ac:dyDescent="0.2">
      <c r="A82" s="20" t="s">
        <v>546</v>
      </c>
      <c r="B82" s="20" t="s">
        <v>560</v>
      </c>
      <c r="C82" s="20">
        <v>33</v>
      </c>
      <c r="D82" s="20">
        <v>136.97</v>
      </c>
      <c r="E82" s="20">
        <f t="shared" si="0"/>
        <v>4520.01</v>
      </c>
      <c r="F82" s="20" t="s">
        <v>591</v>
      </c>
      <c r="G82" s="20" t="str">
        <f t="shared" si="1"/>
        <v>2024</v>
      </c>
    </row>
    <row r="83" spans="1:7" ht="15.75" customHeight="1" x14ac:dyDescent="0.2">
      <c r="A83" s="20" t="s">
        <v>522</v>
      </c>
      <c r="B83" s="20" t="s">
        <v>582</v>
      </c>
      <c r="C83" s="20">
        <v>8</v>
      </c>
      <c r="D83" s="20">
        <v>249.04</v>
      </c>
      <c r="E83" s="20">
        <f t="shared" si="0"/>
        <v>1992.32</v>
      </c>
      <c r="F83" s="20" t="s">
        <v>581</v>
      </c>
      <c r="G83" s="20" t="str">
        <f t="shared" si="1"/>
        <v>2024</v>
      </c>
    </row>
    <row r="84" spans="1:7" ht="15.75" customHeight="1" x14ac:dyDescent="0.2">
      <c r="A84" s="20" t="s">
        <v>536</v>
      </c>
      <c r="B84" s="20" t="s">
        <v>562</v>
      </c>
      <c r="C84" s="20">
        <v>17</v>
      </c>
      <c r="D84" s="20">
        <v>211.96</v>
      </c>
      <c r="E84" s="20">
        <f t="shared" si="0"/>
        <v>3603.32</v>
      </c>
      <c r="F84" s="20" t="s">
        <v>353</v>
      </c>
      <c r="G84" s="20" t="str">
        <f t="shared" si="1"/>
        <v>2025</v>
      </c>
    </row>
    <row r="85" spans="1:7" ht="15.75" customHeight="1" x14ac:dyDescent="0.2">
      <c r="A85" s="20" t="s">
        <v>546</v>
      </c>
      <c r="B85" s="20" t="s">
        <v>548</v>
      </c>
      <c r="C85" s="20">
        <v>45</v>
      </c>
      <c r="D85" s="20">
        <v>402.51</v>
      </c>
      <c r="E85" s="20">
        <f t="shared" si="0"/>
        <v>18112.95</v>
      </c>
      <c r="F85" s="20" t="s">
        <v>165</v>
      </c>
      <c r="G85" s="20" t="str">
        <f t="shared" si="1"/>
        <v>2025</v>
      </c>
    </row>
    <row r="86" spans="1:7" ht="15.75" customHeight="1" x14ac:dyDescent="0.2">
      <c r="A86" s="20" t="s">
        <v>514</v>
      </c>
      <c r="B86" s="20" t="s">
        <v>572</v>
      </c>
      <c r="C86" s="20">
        <v>16</v>
      </c>
      <c r="D86" s="20">
        <v>204.12</v>
      </c>
      <c r="E86" s="20">
        <f t="shared" si="0"/>
        <v>3265.92</v>
      </c>
      <c r="F86" s="20" t="s">
        <v>507</v>
      </c>
      <c r="G86" s="20" t="str">
        <f t="shared" si="1"/>
        <v>2025</v>
      </c>
    </row>
    <row r="87" spans="1:7" ht="15.75" customHeight="1" x14ac:dyDescent="0.2">
      <c r="A87" s="20" t="s">
        <v>536</v>
      </c>
      <c r="B87" s="20" t="s">
        <v>537</v>
      </c>
      <c r="C87" s="20">
        <v>36</v>
      </c>
      <c r="D87" s="20">
        <v>434.54</v>
      </c>
      <c r="E87" s="20">
        <f t="shared" si="0"/>
        <v>15643.44</v>
      </c>
      <c r="F87" s="20" t="s">
        <v>592</v>
      </c>
      <c r="G87" s="20" t="str">
        <f t="shared" si="1"/>
        <v>2025</v>
      </c>
    </row>
    <row r="88" spans="1:7" ht="15.75" customHeight="1" x14ac:dyDescent="0.2">
      <c r="A88" s="20" t="s">
        <v>71</v>
      </c>
      <c r="B88" s="20" t="s">
        <v>78</v>
      </c>
      <c r="C88" s="20">
        <v>13</v>
      </c>
      <c r="D88" s="20">
        <v>258.12</v>
      </c>
      <c r="E88" s="20">
        <f t="shared" si="0"/>
        <v>3355.56</v>
      </c>
      <c r="F88" s="20" t="s">
        <v>593</v>
      </c>
      <c r="G88" s="20" t="str">
        <f t="shared" si="1"/>
        <v>2024</v>
      </c>
    </row>
    <row r="89" spans="1:7" ht="15.75" customHeight="1" x14ac:dyDescent="0.2">
      <c r="A89" s="20" t="s">
        <v>549</v>
      </c>
      <c r="B89" s="20" t="s">
        <v>594</v>
      </c>
      <c r="C89" s="20">
        <v>39</v>
      </c>
      <c r="D89" s="20">
        <v>129.51</v>
      </c>
      <c r="E89" s="20">
        <f t="shared" si="0"/>
        <v>5050.8899999999994</v>
      </c>
      <c r="F89" s="20" t="s">
        <v>595</v>
      </c>
      <c r="G89" s="20" t="str">
        <f t="shared" si="1"/>
        <v>2024</v>
      </c>
    </row>
    <row r="90" spans="1:7" ht="15.75" customHeight="1" x14ac:dyDescent="0.2">
      <c r="A90" s="20" t="s">
        <v>546</v>
      </c>
      <c r="B90" s="20" t="s">
        <v>569</v>
      </c>
      <c r="C90" s="20">
        <v>15</v>
      </c>
      <c r="D90" s="20">
        <v>161.38999999999999</v>
      </c>
      <c r="E90" s="20">
        <f t="shared" si="0"/>
        <v>2420.85</v>
      </c>
      <c r="F90" s="20" t="s">
        <v>164</v>
      </c>
      <c r="G90" s="20" t="str">
        <f t="shared" si="1"/>
        <v>2025</v>
      </c>
    </row>
    <row r="91" spans="1:7" ht="15.75" customHeight="1" x14ac:dyDescent="0.2">
      <c r="A91" s="20" t="s">
        <v>71</v>
      </c>
      <c r="B91" s="20" t="s">
        <v>74</v>
      </c>
      <c r="C91" s="20">
        <v>28</v>
      </c>
      <c r="D91" s="20">
        <v>146.52000000000001</v>
      </c>
      <c r="E91" s="20">
        <f t="shared" si="0"/>
        <v>4102.5600000000004</v>
      </c>
      <c r="F91" s="20" t="s">
        <v>576</v>
      </c>
      <c r="G91" s="20" t="str">
        <f t="shared" si="1"/>
        <v>2025</v>
      </c>
    </row>
    <row r="92" spans="1:7" ht="15.75" customHeight="1" x14ac:dyDescent="0.2">
      <c r="A92" s="20" t="s">
        <v>529</v>
      </c>
      <c r="B92" s="20" t="s">
        <v>568</v>
      </c>
      <c r="C92" s="20">
        <v>11</v>
      </c>
      <c r="D92" s="20">
        <v>8.93</v>
      </c>
      <c r="E92" s="20">
        <f t="shared" si="0"/>
        <v>98.22999999999999</v>
      </c>
      <c r="F92" s="20" t="s">
        <v>235</v>
      </c>
      <c r="G92" s="20" t="str">
        <f t="shared" si="1"/>
        <v>2025</v>
      </c>
    </row>
    <row r="93" spans="1:7" ht="15.75" customHeight="1" x14ac:dyDescent="0.2">
      <c r="A93" s="20" t="s">
        <v>536</v>
      </c>
      <c r="B93" s="20" t="s">
        <v>563</v>
      </c>
      <c r="C93" s="20">
        <v>10</v>
      </c>
      <c r="D93" s="20">
        <v>28.65</v>
      </c>
      <c r="E93" s="20">
        <f t="shared" si="0"/>
        <v>286.5</v>
      </c>
      <c r="F93" s="20" t="s">
        <v>596</v>
      </c>
      <c r="G93" s="20" t="str">
        <f t="shared" si="1"/>
        <v>2024</v>
      </c>
    </row>
    <row r="94" spans="1:7" ht="15.75" customHeight="1" x14ac:dyDescent="0.2">
      <c r="A94" s="20" t="s">
        <v>549</v>
      </c>
      <c r="B94" s="20" t="s">
        <v>550</v>
      </c>
      <c r="C94" s="20">
        <v>3</v>
      </c>
      <c r="D94" s="20">
        <v>299.82</v>
      </c>
      <c r="E94" s="20">
        <f t="shared" si="0"/>
        <v>899.46</v>
      </c>
      <c r="F94" s="20" t="s">
        <v>597</v>
      </c>
      <c r="G94" s="20" t="str">
        <f t="shared" si="1"/>
        <v>2024</v>
      </c>
    </row>
    <row r="95" spans="1:7" ht="15.75" customHeight="1" x14ac:dyDescent="0.2">
      <c r="A95" s="20" t="s">
        <v>514</v>
      </c>
      <c r="B95" s="20" t="s">
        <v>534</v>
      </c>
      <c r="C95" s="20">
        <v>27</v>
      </c>
      <c r="D95" s="20">
        <v>114.16</v>
      </c>
      <c r="E95" s="20">
        <f t="shared" si="0"/>
        <v>3082.3199999999997</v>
      </c>
      <c r="F95" s="20" t="s">
        <v>139</v>
      </c>
      <c r="G95" s="20" t="str">
        <f t="shared" si="1"/>
        <v>2025</v>
      </c>
    </row>
    <row r="96" spans="1:7" ht="15.75" customHeight="1" x14ac:dyDescent="0.2">
      <c r="A96" s="20" t="s">
        <v>514</v>
      </c>
      <c r="B96" s="20" t="s">
        <v>572</v>
      </c>
      <c r="C96" s="20">
        <v>23</v>
      </c>
      <c r="D96" s="20">
        <v>95.34</v>
      </c>
      <c r="E96" s="20">
        <f t="shared" si="0"/>
        <v>2192.8200000000002</v>
      </c>
      <c r="F96" s="20" t="s">
        <v>125</v>
      </c>
      <c r="G96" s="20" t="str">
        <f t="shared" si="1"/>
        <v>2025</v>
      </c>
    </row>
    <row r="97" spans="1:7" ht="15.75" customHeight="1" x14ac:dyDescent="0.2">
      <c r="A97" s="20" t="s">
        <v>549</v>
      </c>
      <c r="B97" s="20" t="s">
        <v>598</v>
      </c>
      <c r="C97" s="20">
        <v>21</v>
      </c>
      <c r="D97" s="20">
        <v>133.16</v>
      </c>
      <c r="E97" s="20">
        <f t="shared" si="0"/>
        <v>2796.36</v>
      </c>
      <c r="F97" s="20" t="s">
        <v>220</v>
      </c>
      <c r="G97" s="20" t="str">
        <f t="shared" si="1"/>
        <v>2025</v>
      </c>
    </row>
    <row r="98" spans="1:7" ht="15.75" customHeight="1" x14ac:dyDescent="0.2">
      <c r="A98" s="20" t="s">
        <v>546</v>
      </c>
      <c r="B98" s="20" t="s">
        <v>560</v>
      </c>
      <c r="C98" s="20">
        <v>29</v>
      </c>
      <c r="D98" s="20">
        <v>157.22</v>
      </c>
      <c r="E98" s="20">
        <f t="shared" si="0"/>
        <v>4559.38</v>
      </c>
      <c r="F98" s="20" t="s">
        <v>499</v>
      </c>
      <c r="G98" s="20" t="str">
        <f t="shared" si="1"/>
        <v>2025</v>
      </c>
    </row>
    <row r="99" spans="1:7" ht="15.75" customHeight="1" x14ac:dyDescent="0.2">
      <c r="A99" s="20" t="s">
        <v>514</v>
      </c>
      <c r="B99" s="20" t="s">
        <v>534</v>
      </c>
      <c r="C99" s="20">
        <v>34</v>
      </c>
      <c r="D99" s="20">
        <v>481.2</v>
      </c>
      <c r="E99" s="20">
        <f t="shared" si="0"/>
        <v>16360.8</v>
      </c>
      <c r="F99" s="20" t="s">
        <v>86</v>
      </c>
      <c r="G99" s="20" t="str">
        <f t="shared" si="1"/>
        <v>2025</v>
      </c>
    </row>
    <row r="100" spans="1:7" ht="15.75" customHeight="1" x14ac:dyDescent="0.2">
      <c r="A100" s="20" t="s">
        <v>71</v>
      </c>
      <c r="B100" s="20" t="s">
        <v>70</v>
      </c>
      <c r="C100" s="20">
        <v>13</v>
      </c>
      <c r="D100" s="20">
        <v>489.14</v>
      </c>
      <c r="E100" s="20">
        <f t="shared" si="0"/>
        <v>6358.82</v>
      </c>
      <c r="F100" s="20" t="s">
        <v>321</v>
      </c>
      <c r="G100" s="20" t="str">
        <f t="shared" si="1"/>
        <v>2025</v>
      </c>
    </row>
    <row r="101" spans="1:7" ht="15.75" customHeight="1" x14ac:dyDescent="0.2">
      <c r="A101" s="20" t="s">
        <v>527</v>
      </c>
      <c r="B101" s="20" t="s">
        <v>539</v>
      </c>
      <c r="C101" s="20">
        <v>26</v>
      </c>
      <c r="D101" s="20">
        <v>159.5</v>
      </c>
      <c r="E101" s="20">
        <f t="shared" si="0"/>
        <v>4147</v>
      </c>
      <c r="F101" s="20" t="s">
        <v>599</v>
      </c>
      <c r="G101" s="20" t="str">
        <f t="shared" si="1"/>
        <v>2024</v>
      </c>
    </row>
    <row r="102" spans="1:7" ht="15.75" customHeight="1" x14ac:dyDescent="0.2">
      <c r="A102" s="20" t="s">
        <v>536</v>
      </c>
      <c r="B102" s="20" t="s">
        <v>600</v>
      </c>
      <c r="C102" s="20">
        <v>49</v>
      </c>
      <c r="D102" s="20">
        <v>306.85000000000002</v>
      </c>
      <c r="E102" s="20">
        <f t="shared" si="0"/>
        <v>15035.650000000001</v>
      </c>
      <c r="F102" s="20" t="s">
        <v>171</v>
      </c>
      <c r="G102" s="20" t="str">
        <f t="shared" si="1"/>
        <v>2025</v>
      </c>
    </row>
    <row r="103" spans="1:7" ht="15.75" customHeight="1" x14ac:dyDescent="0.2">
      <c r="A103" s="20" t="s">
        <v>514</v>
      </c>
      <c r="B103" s="20" t="s">
        <v>572</v>
      </c>
      <c r="C103" s="20">
        <v>35</v>
      </c>
      <c r="D103" s="20">
        <v>32.340000000000003</v>
      </c>
      <c r="E103" s="20">
        <f t="shared" si="0"/>
        <v>1131.9000000000001</v>
      </c>
      <c r="F103" s="20" t="s">
        <v>601</v>
      </c>
      <c r="G103" s="20" t="str">
        <f t="shared" si="1"/>
        <v>2024</v>
      </c>
    </row>
    <row r="104" spans="1:7" ht="15.75" customHeight="1" x14ac:dyDescent="0.2">
      <c r="A104" s="20" t="s">
        <v>546</v>
      </c>
      <c r="B104" s="20" t="s">
        <v>548</v>
      </c>
      <c r="C104" s="20">
        <v>24</v>
      </c>
      <c r="D104" s="20">
        <v>156.22</v>
      </c>
      <c r="E104" s="20">
        <f t="shared" si="0"/>
        <v>3749.2799999999997</v>
      </c>
      <c r="F104" s="20" t="s">
        <v>602</v>
      </c>
      <c r="G104" s="20" t="str">
        <f t="shared" si="1"/>
        <v>2024</v>
      </c>
    </row>
    <row r="105" spans="1:7" ht="15.75" customHeight="1" x14ac:dyDescent="0.2">
      <c r="A105" s="20" t="s">
        <v>546</v>
      </c>
      <c r="B105" s="20" t="s">
        <v>547</v>
      </c>
      <c r="C105" s="20">
        <v>18</v>
      </c>
      <c r="D105" s="20">
        <v>82.49</v>
      </c>
      <c r="E105" s="20">
        <f t="shared" si="0"/>
        <v>1484.82</v>
      </c>
      <c r="F105" s="20" t="s">
        <v>603</v>
      </c>
      <c r="G105" s="20" t="str">
        <f t="shared" si="1"/>
        <v>2024</v>
      </c>
    </row>
    <row r="106" spans="1:7" ht="15.75" customHeight="1" x14ac:dyDescent="0.2">
      <c r="A106" s="20" t="s">
        <v>536</v>
      </c>
      <c r="B106" s="20" t="s">
        <v>600</v>
      </c>
      <c r="C106" s="20">
        <v>36</v>
      </c>
      <c r="D106" s="20">
        <v>310.63</v>
      </c>
      <c r="E106" s="20">
        <f t="shared" si="0"/>
        <v>11182.68</v>
      </c>
      <c r="F106" s="20" t="s">
        <v>492</v>
      </c>
      <c r="G106" s="20" t="str">
        <f t="shared" si="1"/>
        <v>2025</v>
      </c>
    </row>
    <row r="107" spans="1:7" ht="15.75" customHeight="1" x14ac:dyDescent="0.2">
      <c r="A107" s="20" t="s">
        <v>549</v>
      </c>
      <c r="B107" s="20" t="s">
        <v>604</v>
      </c>
      <c r="C107" s="20">
        <v>6</v>
      </c>
      <c r="D107" s="20">
        <v>274.07</v>
      </c>
      <c r="E107" s="20">
        <f t="shared" si="0"/>
        <v>1644.42</v>
      </c>
      <c r="F107" s="20" t="s">
        <v>150</v>
      </c>
      <c r="G107" s="20" t="str">
        <f t="shared" si="1"/>
        <v>2025</v>
      </c>
    </row>
    <row r="108" spans="1:7" ht="15.75" customHeight="1" x14ac:dyDescent="0.2">
      <c r="A108" s="20" t="s">
        <v>71</v>
      </c>
      <c r="B108" s="20" t="s">
        <v>92</v>
      </c>
      <c r="C108" s="20">
        <v>40</v>
      </c>
      <c r="D108" s="20">
        <v>48.74</v>
      </c>
      <c r="E108" s="20">
        <f t="shared" si="0"/>
        <v>1949.6000000000001</v>
      </c>
      <c r="F108" s="20" t="s">
        <v>605</v>
      </c>
      <c r="G108" s="20" t="str">
        <f t="shared" si="1"/>
        <v>2024</v>
      </c>
    </row>
    <row r="109" spans="1:7" ht="15.75" customHeight="1" x14ac:dyDescent="0.2">
      <c r="A109" s="20" t="s">
        <v>522</v>
      </c>
      <c r="B109" s="20" t="s">
        <v>525</v>
      </c>
      <c r="C109" s="20">
        <v>40</v>
      </c>
      <c r="D109" s="20">
        <v>181.38</v>
      </c>
      <c r="E109" s="20">
        <f t="shared" si="0"/>
        <v>7255.2</v>
      </c>
      <c r="F109" s="20" t="s">
        <v>447</v>
      </c>
      <c r="G109" s="20" t="str">
        <f t="shared" si="1"/>
        <v>2025</v>
      </c>
    </row>
    <row r="110" spans="1:7" ht="15.75" customHeight="1" x14ac:dyDescent="0.2">
      <c r="A110" s="20" t="s">
        <v>71</v>
      </c>
      <c r="B110" s="20" t="s">
        <v>92</v>
      </c>
      <c r="C110" s="20">
        <v>18</v>
      </c>
      <c r="D110" s="20">
        <v>26.06</v>
      </c>
      <c r="E110" s="20">
        <f t="shared" si="0"/>
        <v>469.08</v>
      </c>
      <c r="F110" s="20" t="s">
        <v>606</v>
      </c>
      <c r="G110" s="20" t="str">
        <f t="shared" si="1"/>
        <v>2024</v>
      </c>
    </row>
    <row r="111" spans="1:7" ht="15.75" customHeight="1" x14ac:dyDescent="0.2">
      <c r="A111" s="20" t="s">
        <v>514</v>
      </c>
      <c r="B111" s="20" t="s">
        <v>554</v>
      </c>
      <c r="C111" s="20">
        <v>41</v>
      </c>
      <c r="D111" s="20">
        <v>339.32</v>
      </c>
      <c r="E111" s="20">
        <f t="shared" si="0"/>
        <v>13912.119999999999</v>
      </c>
      <c r="F111" s="20" t="s">
        <v>602</v>
      </c>
      <c r="G111" s="20" t="str">
        <f t="shared" si="1"/>
        <v>2024</v>
      </c>
    </row>
    <row r="112" spans="1:7" ht="15.75" customHeight="1" x14ac:dyDescent="0.2">
      <c r="A112" s="20" t="s">
        <v>549</v>
      </c>
      <c r="B112" s="20" t="s">
        <v>604</v>
      </c>
      <c r="C112" s="20">
        <v>48</v>
      </c>
      <c r="D112" s="20">
        <v>416.91</v>
      </c>
      <c r="E112" s="20">
        <f t="shared" si="0"/>
        <v>20011.68</v>
      </c>
      <c r="F112" s="20" t="s">
        <v>401</v>
      </c>
      <c r="G112" s="20" t="str">
        <f t="shared" si="1"/>
        <v>2025</v>
      </c>
    </row>
    <row r="113" spans="1:7" ht="15.75" customHeight="1" x14ac:dyDescent="0.2">
      <c r="A113" s="20" t="s">
        <v>71</v>
      </c>
      <c r="B113" s="20" t="s">
        <v>74</v>
      </c>
      <c r="C113" s="20">
        <v>50</v>
      </c>
      <c r="D113" s="20">
        <v>461.9</v>
      </c>
      <c r="E113" s="20">
        <f t="shared" si="0"/>
        <v>23095</v>
      </c>
      <c r="F113" s="20" t="s">
        <v>607</v>
      </c>
      <c r="G113" s="20" t="str">
        <f t="shared" si="1"/>
        <v>2024</v>
      </c>
    </row>
    <row r="114" spans="1:7" ht="15.75" customHeight="1" x14ac:dyDescent="0.2">
      <c r="A114" s="20" t="s">
        <v>546</v>
      </c>
      <c r="B114" s="20" t="s">
        <v>547</v>
      </c>
      <c r="C114" s="20">
        <v>31</v>
      </c>
      <c r="D114" s="20">
        <v>135.83000000000001</v>
      </c>
      <c r="E114" s="20">
        <f t="shared" si="0"/>
        <v>4210.7300000000005</v>
      </c>
      <c r="F114" s="20" t="s">
        <v>608</v>
      </c>
      <c r="G114" s="20" t="str">
        <f t="shared" si="1"/>
        <v>2024</v>
      </c>
    </row>
    <row r="115" spans="1:7" ht="15.75" customHeight="1" x14ac:dyDescent="0.2">
      <c r="A115" s="20" t="s">
        <v>529</v>
      </c>
      <c r="B115" s="20" t="s">
        <v>557</v>
      </c>
      <c r="C115" s="20">
        <v>50</v>
      </c>
      <c r="D115" s="20">
        <v>64.8</v>
      </c>
      <c r="E115" s="20">
        <f t="shared" si="0"/>
        <v>3240</v>
      </c>
      <c r="F115" s="20" t="s">
        <v>609</v>
      </c>
      <c r="G115" s="20" t="str">
        <f t="shared" si="1"/>
        <v>2024</v>
      </c>
    </row>
    <row r="116" spans="1:7" ht="15.75" customHeight="1" x14ac:dyDescent="0.2">
      <c r="A116" s="20" t="s">
        <v>529</v>
      </c>
      <c r="B116" s="20" t="s">
        <v>570</v>
      </c>
      <c r="C116" s="20">
        <v>8</v>
      </c>
      <c r="D116" s="20">
        <v>90.59</v>
      </c>
      <c r="E116" s="20">
        <f t="shared" si="0"/>
        <v>724.72</v>
      </c>
      <c r="F116" s="20" t="s">
        <v>610</v>
      </c>
      <c r="G116" s="20" t="str">
        <f t="shared" si="1"/>
        <v>2024</v>
      </c>
    </row>
    <row r="117" spans="1:7" ht="15.75" customHeight="1" x14ac:dyDescent="0.2">
      <c r="A117" s="20" t="s">
        <v>527</v>
      </c>
      <c r="B117" s="20" t="s">
        <v>611</v>
      </c>
      <c r="C117" s="20">
        <v>44</v>
      </c>
      <c r="D117" s="20">
        <v>78.45</v>
      </c>
      <c r="E117" s="20">
        <f t="shared" si="0"/>
        <v>3451.8</v>
      </c>
      <c r="F117" s="20" t="s">
        <v>152</v>
      </c>
      <c r="G117" s="20" t="str">
        <f t="shared" si="1"/>
        <v>2025</v>
      </c>
    </row>
    <row r="118" spans="1:7" ht="15.75" customHeight="1" x14ac:dyDescent="0.2">
      <c r="A118" s="20" t="s">
        <v>514</v>
      </c>
      <c r="B118" s="20" t="s">
        <v>515</v>
      </c>
      <c r="C118" s="20">
        <v>34</v>
      </c>
      <c r="D118" s="20">
        <v>281.79000000000002</v>
      </c>
      <c r="E118" s="20">
        <f t="shared" si="0"/>
        <v>9580.86</v>
      </c>
      <c r="F118" s="20" t="s">
        <v>612</v>
      </c>
      <c r="G118" s="20" t="str">
        <f t="shared" si="1"/>
        <v>2024</v>
      </c>
    </row>
    <row r="119" spans="1:7" ht="15.75" customHeight="1" x14ac:dyDescent="0.2">
      <c r="A119" s="20" t="s">
        <v>536</v>
      </c>
      <c r="B119" s="20" t="s">
        <v>537</v>
      </c>
      <c r="C119" s="20">
        <v>37</v>
      </c>
      <c r="D119" s="20">
        <v>252.85</v>
      </c>
      <c r="E119" s="20">
        <f t="shared" si="0"/>
        <v>9355.4499999999989</v>
      </c>
      <c r="F119" s="20" t="s">
        <v>613</v>
      </c>
      <c r="G119" s="20" t="str">
        <f t="shared" si="1"/>
        <v>2024</v>
      </c>
    </row>
    <row r="120" spans="1:7" ht="15.75" customHeight="1" x14ac:dyDescent="0.2">
      <c r="A120" s="20" t="s">
        <v>71</v>
      </c>
      <c r="B120" s="20" t="s">
        <v>92</v>
      </c>
      <c r="C120" s="20">
        <v>15</v>
      </c>
      <c r="D120" s="20">
        <v>9.59</v>
      </c>
      <c r="E120" s="20">
        <f t="shared" si="0"/>
        <v>143.85</v>
      </c>
      <c r="F120" s="20" t="s">
        <v>124</v>
      </c>
      <c r="G120" s="20" t="str">
        <f t="shared" si="1"/>
        <v>2025</v>
      </c>
    </row>
    <row r="121" spans="1:7" ht="15.75" customHeight="1" x14ac:dyDescent="0.2">
      <c r="A121" s="20" t="s">
        <v>527</v>
      </c>
      <c r="B121" s="20" t="s">
        <v>611</v>
      </c>
      <c r="C121" s="20">
        <v>4</v>
      </c>
      <c r="D121" s="20">
        <v>100.91</v>
      </c>
      <c r="E121" s="20">
        <f t="shared" si="0"/>
        <v>403.64</v>
      </c>
      <c r="F121" s="20" t="s">
        <v>614</v>
      </c>
      <c r="G121" s="20" t="str">
        <f t="shared" si="1"/>
        <v>2024</v>
      </c>
    </row>
    <row r="122" spans="1:7" ht="15.75" customHeight="1" x14ac:dyDescent="0.2">
      <c r="A122" s="20" t="s">
        <v>536</v>
      </c>
      <c r="B122" s="20" t="s">
        <v>562</v>
      </c>
      <c r="C122" s="20">
        <v>21</v>
      </c>
      <c r="D122" s="20">
        <v>377.17</v>
      </c>
      <c r="E122" s="20">
        <f t="shared" si="0"/>
        <v>7920.5700000000006</v>
      </c>
      <c r="F122" s="20" t="s">
        <v>615</v>
      </c>
      <c r="G122" s="20" t="str">
        <f t="shared" si="1"/>
        <v>2024</v>
      </c>
    </row>
    <row r="123" spans="1:7" ht="15.75" customHeight="1" x14ac:dyDescent="0.2">
      <c r="A123" s="20" t="s">
        <v>522</v>
      </c>
      <c r="B123" s="20" t="s">
        <v>523</v>
      </c>
      <c r="C123" s="20">
        <v>12</v>
      </c>
      <c r="D123" s="20">
        <v>317.36</v>
      </c>
      <c r="E123" s="20">
        <f t="shared" si="0"/>
        <v>3808.32</v>
      </c>
      <c r="F123" s="20" t="s">
        <v>616</v>
      </c>
      <c r="G123" s="20" t="str">
        <f t="shared" si="1"/>
        <v>2024</v>
      </c>
    </row>
    <row r="124" spans="1:7" ht="15.75" customHeight="1" x14ac:dyDescent="0.2">
      <c r="A124" s="20" t="s">
        <v>522</v>
      </c>
      <c r="B124" s="20" t="s">
        <v>582</v>
      </c>
      <c r="C124" s="20">
        <v>47</v>
      </c>
      <c r="D124" s="20">
        <v>165.95</v>
      </c>
      <c r="E124" s="20">
        <f t="shared" si="0"/>
        <v>7799.65</v>
      </c>
      <c r="F124" s="20" t="s">
        <v>617</v>
      </c>
      <c r="G124" s="20" t="str">
        <f t="shared" si="1"/>
        <v>2024</v>
      </c>
    </row>
    <row r="125" spans="1:7" ht="15.75" customHeight="1" x14ac:dyDescent="0.2">
      <c r="A125" s="20" t="s">
        <v>514</v>
      </c>
      <c r="B125" s="20" t="s">
        <v>572</v>
      </c>
      <c r="C125" s="20">
        <v>34</v>
      </c>
      <c r="D125" s="20">
        <v>282.12</v>
      </c>
      <c r="E125" s="20">
        <f t="shared" si="0"/>
        <v>9592.08</v>
      </c>
      <c r="F125" s="20" t="s">
        <v>618</v>
      </c>
      <c r="G125" s="20" t="str">
        <f t="shared" si="1"/>
        <v>2025</v>
      </c>
    </row>
    <row r="126" spans="1:7" ht="15.75" customHeight="1" x14ac:dyDescent="0.2">
      <c r="A126" s="20" t="s">
        <v>527</v>
      </c>
      <c r="B126" s="20" t="s">
        <v>528</v>
      </c>
      <c r="C126" s="20">
        <v>45</v>
      </c>
      <c r="D126" s="20">
        <v>221.11</v>
      </c>
      <c r="E126" s="20">
        <f t="shared" si="0"/>
        <v>9949.9500000000007</v>
      </c>
      <c r="F126" s="20" t="s">
        <v>619</v>
      </c>
      <c r="G126" s="20" t="str">
        <f t="shared" si="1"/>
        <v>2024</v>
      </c>
    </row>
    <row r="127" spans="1:7" ht="15.75" customHeight="1" x14ac:dyDescent="0.2">
      <c r="A127" s="20" t="s">
        <v>527</v>
      </c>
      <c r="B127" s="20" t="s">
        <v>552</v>
      </c>
      <c r="C127" s="20">
        <v>43</v>
      </c>
      <c r="D127" s="20">
        <v>22.95</v>
      </c>
      <c r="E127" s="20">
        <f t="shared" si="0"/>
        <v>986.85</v>
      </c>
      <c r="F127" s="20" t="s">
        <v>83</v>
      </c>
      <c r="G127" s="20" t="str">
        <f t="shared" si="1"/>
        <v>2025</v>
      </c>
    </row>
    <row r="128" spans="1:7" ht="15.75" customHeight="1" x14ac:dyDescent="0.2">
      <c r="A128" s="20" t="s">
        <v>529</v>
      </c>
      <c r="B128" s="20" t="s">
        <v>557</v>
      </c>
      <c r="C128" s="20">
        <v>19</v>
      </c>
      <c r="D128" s="20">
        <v>414.4</v>
      </c>
      <c r="E128" s="20">
        <f t="shared" si="0"/>
        <v>7873.5999999999995</v>
      </c>
      <c r="F128" s="20" t="s">
        <v>620</v>
      </c>
      <c r="G128" s="20" t="str">
        <f t="shared" si="1"/>
        <v>2024</v>
      </c>
    </row>
    <row r="129" spans="1:7" ht="15.75" customHeight="1" x14ac:dyDescent="0.2">
      <c r="A129" s="20" t="s">
        <v>514</v>
      </c>
      <c r="B129" s="20" t="s">
        <v>554</v>
      </c>
      <c r="C129" s="20">
        <v>18</v>
      </c>
      <c r="D129" s="20">
        <v>125.64</v>
      </c>
      <c r="E129" s="20">
        <f t="shared" si="0"/>
        <v>2261.52</v>
      </c>
      <c r="F129" s="20" t="s">
        <v>621</v>
      </c>
      <c r="G129" s="20" t="str">
        <f t="shared" si="1"/>
        <v>2024</v>
      </c>
    </row>
    <row r="130" spans="1:7" ht="15.75" customHeight="1" x14ac:dyDescent="0.2">
      <c r="A130" s="20" t="s">
        <v>522</v>
      </c>
      <c r="B130" s="20" t="s">
        <v>582</v>
      </c>
      <c r="C130" s="20">
        <v>40</v>
      </c>
      <c r="D130" s="20">
        <v>54.98</v>
      </c>
      <c r="E130" s="20">
        <f t="shared" si="0"/>
        <v>2199.1999999999998</v>
      </c>
      <c r="F130" s="20" t="s">
        <v>622</v>
      </c>
      <c r="G130" s="20" t="str">
        <f t="shared" si="1"/>
        <v>2024</v>
      </c>
    </row>
    <row r="131" spans="1:7" ht="15.75" customHeight="1" x14ac:dyDescent="0.2">
      <c r="A131" s="20" t="s">
        <v>71</v>
      </c>
      <c r="B131" s="20" t="s">
        <v>74</v>
      </c>
      <c r="C131" s="20">
        <v>38</v>
      </c>
      <c r="D131" s="20">
        <v>231.52</v>
      </c>
      <c r="E131" s="20">
        <f t="shared" si="0"/>
        <v>8797.76</v>
      </c>
      <c r="F131" s="20" t="s">
        <v>136</v>
      </c>
      <c r="G131" s="20" t="str">
        <f t="shared" si="1"/>
        <v>2025</v>
      </c>
    </row>
    <row r="132" spans="1:7" ht="15.75" customHeight="1" x14ac:dyDescent="0.2">
      <c r="A132" s="20" t="s">
        <v>529</v>
      </c>
      <c r="B132" s="20" t="s">
        <v>570</v>
      </c>
      <c r="C132" s="20">
        <v>29</v>
      </c>
      <c r="D132" s="20">
        <v>281.33</v>
      </c>
      <c r="E132" s="20">
        <f t="shared" si="0"/>
        <v>8158.57</v>
      </c>
      <c r="F132" s="20" t="s">
        <v>124</v>
      </c>
      <c r="G132" s="20" t="str">
        <f t="shared" si="1"/>
        <v>2025</v>
      </c>
    </row>
    <row r="133" spans="1:7" ht="15.75" customHeight="1" x14ac:dyDescent="0.2">
      <c r="A133" s="20" t="s">
        <v>549</v>
      </c>
      <c r="B133" s="20" t="s">
        <v>550</v>
      </c>
      <c r="C133" s="20">
        <v>15</v>
      </c>
      <c r="D133" s="20">
        <v>200.54</v>
      </c>
      <c r="E133" s="20">
        <f t="shared" si="0"/>
        <v>3008.1</v>
      </c>
      <c r="F133" s="20" t="s">
        <v>122</v>
      </c>
      <c r="G133" s="20" t="str">
        <f t="shared" si="1"/>
        <v>2025</v>
      </c>
    </row>
    <row r="134" spans="1:7" ht="15.75" customHeight="1" x14ac:dyDescent="0.2">
      <c r="A134" s="20" t="s">
        <v>546</v>
      </c>
      <c r="B134" s="20" t="s">
        <v>548</v>
      </c>
      <c r="C134" s="20">
        <v>22</v>
      </c>
      <c r="D134" s="20">
        <v>83.22</v>
      </c>
      <c r="E134" s="20">
        <f t="shared" si="0"/>
        <v>1830.84</v>
      </c>
      <c r="F134" s="20" t="s">
        <v>323</v>
      </c>
      <c r="G134" s="20" t="str">
        <f t="shared" si="1"/>
        <v>2025</v>
      </c>
    </row>
    <row r="135" spans="1:7" ht="15.75" customHeight="1" x14ac:dyDescent="0.2">
      <c r="A135" s="20" t="s">
        <v>536</v>
      </c>
      <c r="B135" s="20" t="s">
        <v>558</v>
      </c>
      <c r="C135" s="20">
        <v>47</v>
      </c>
      <c r="D135" s="20">
        <v>88.05</v>
      </c>
      <c r="E135" s="20">
        <f t="shared" si="0"/>
        <v>4138.3499999999995</v>
      </c>
      <c r="F135" s="20" t="s">
        <v>164</v>
      </c>
      <c r="G135" s="20" t="str">
        <f t="shared" si="1"/>
        <v>2025</v>
      </c>
    </row>
    <row r="136" spans="1:7" ht="15.75" customHeight="1" x14ac:dyDescent="0.2">
      <c r="A136" s="20" t="s">
        <v>527</v>
      </c>
      <c r="B136" s="20" t="s">
        <v>539</v>
      </c>
      <c r="C136" s="20">
        <v>49</v>
      </c>
      <c r="D136" s="20">
        <v>300.98</v>
      </c>
      <c r="E136" s="20">
        <f t="shared" si="0"/>
        <v>14748.02</v>
      </c>
      <c r="F136" s="20" t="s">
        <v>623</v>
      </c>
      <c r="G136" s="20" t="str">
        <f t="shared" si="1"/>
        <v>2024</v>
      </c>
    </row>
    <row r="137" spans="1:7" ht="15.75" customHeight="1" x14ac:dyDescent="0.2">
      <c r="A137" s="20" t="s">
        <v>522</v>
      </c>
      <c r="B137" s="20" t="s">
        <v>582</v>
      </c>
      <c r="C137" s="20">
        <v>7</v>
      </c>
      <c r="D137" s="20">
        <v>359.8</v>
      </c>
      <c r="E137" s="20">
        <f t="shared" si="0"/>
        <v>2518.6</v>
      </c>
      <c r="F137" s="20" t="s">
        <v>624</v>
      </c>
      <c r="G137" s="20" t="str">
        <f t="shared" si="1"/>
        <v>2024</v>
      </c>
    </row>
    <row r="138" spans="1:7" ht="15.75" customHeight="1" x14ac:dyDescent="0.2">
      <c r="A138" s="20" t="s">
        <v>527</v>
      </c>
      <c r="B138" s="20" t="s">
        <v>528</v>
      </c>
      <c r="C138" s="20">
        <v>39</v>
      </c>
      <c r="D138" s="20">
        <v>64.540000000000006</v>
      </c>
      <c r="E138" s="20">
        <f t="shared" si="0"/>
        <v>2517.0600000000004</v>
      </c>
      <c r="F138" s="20" t="s">
        <v>595</v>
      </c>
      <c r="G138" s="20" t="str">
        <f t="shared" si="1"/>
        <v>2024</v>
      </c>
    </row>
    <row r="139" spans="1:7" ht="15.75" customHeight="1" x14ac:dyDescent="0.2">
      <c r="A139" s="20" t="s">
        <v>527</v>
      </c>
      <c r="B139" s="20" t="s">
        <v>552</v>
      </c>
      <c r="C139" s="20">
        <v>3</v>
      </c>
      <c r="D139" s="20">
        <v>257.47000000000003</v>
      </c>
      <c r="E139" s="20">
        <f t="shared" si="0"/>
        <v>772.41000000000008</v>
      </c>
      <c r="F139" s="20" t="s">
        <v>140</v>
      </c>
      <c r="G139" s="20" t="str">
        <f t="shared" si="1"/>
        <v>2025</v>
      </c>
    </row>
    <row r="140" spans="1:7" ht="15.75" customHeight="1" x14ac:dyDescent="0.2">
      <c r="A140" s="20" t="s">
        <v>71</v>
      </c>
      <c r="B140" s="20" t="s">
        <v>78</v>
      </c>
      <c r="C140" s="20">
        <v>14</v>
      </c>
      <c r="D140" s="20">
        <v>295.27</v>
      </c>
      <c r="E140" s="20">
        <f t="shared" si="0"/>
        <v>4133.78</v>
      </c>
      <c r="F140" s="20" t="s">
        <v>625</v>
      </c>
      <c r="G140" s="20" t="str">
        <f t="shared" si="1"/>
        <v>2024</v>
      </c>
    </row>
    <row r="141" spans="1:7" ht="15.75" customHeight="1" x14ac:dyDescent="0.2">
      <c r="A141" s="20" t="s">
        <v>522</v>
      </c>
      <c r="B141" s="20" t="s">
        <v>626</v>
      </c>
      <c r="C141" s="20">
        <v>8</v>
      </c>
      <c r="D141" s="20">
        <v>26.28</v>
      </c>
      <c r="E141" s="20">
        <f t="shared" si="0"/>
        <v>210.24</v>
      </c>
      <c r="F141" s="20" t="s">
        <v>296</v>
      </c>
      <c r="G141" s="20" t="str">
        <f t="shared" si="1"/>
        <v>2025</v>
      </c>
    </row>
    <row r="142" spans="1:7" ht="15.75" customHeight="1" x14ac:dyDescent="0.2">
      <c r="A142" s="20" t="s">
        <v>529</v>
      </c>
      <c r="B142" s="20" t="s">
        <v>530</v>
      </c>
      <c r="C142" s="20">
        <v>6</v>
      </c>
      <c r="D142" s="20">
        <v>79.25</v>
      </c>
      <c r="E142" s="20">
        <f t="shared" si="0"/>
        <v>475.5</v>
      </c>
      <c r="F142" s="20" t="s">
        <v>425</v>
      </c>
      <c r="G142" s="20" t="str">
        <f t="shared" si="1"/>
        <v>2025</v>
      </c>
    </row>
    <row r="143" spans="1:7" ht="15.75" customHeight="1" x14ac:dyDescent="0.2">
      <c r="A143" s="20" t="s">
        <v>527</v>
      </c>
      <c r="B143" s="20" t="s">
        <v>541</v>
      </c>
      <c r="C143" s="20">
        <v>40</v>
      </c>
      <c r="D143" s="20">
        <v>75.48</v>
      </c>
      <c r="E143" s="20">
        <f t="shared" si="0"/>
        <v>3019.2000000000003</v>
      </c>
      <c r="F143" s="20" t="s">
        <v>483</v>
      </c>
      <c r="G143" s="20" t="str">
        <f t="shared" si="1"/>
        <v>2025</v>
      </c>
    </row>
    <row r="144" spans="1:7" ht="15.75" customHeight="1" x14ac:dyDescent="0.2">
      <c r="A144" s="20" t="s">
        <v>546</v>
      </c>
      <c r="B144" s="20" t="s">
        <v>548</v>
      </c>
      <c r="C144" s="20">
        <v>30</v>
      </c>
      <c r="D144" s="20">
        <v>191.49</v>
      </c>
      <c r="E144" s="20">
        <f t="shared" si="0"/>
        <v>5744.7000000000007</v>
      </c>
      <c r="F144" s="20" t="s">
        <v>215</v>
      </c>
      <c r="G144" s="20" t="str">
        <f t="shared" si="1"/>
        <v>2025</v>
      </c>
    </row>
    <row r="145" spans="1:7" ht="15.75" customHeight="1" x14ac:dyDescent="0.2">
      <c r="A145" s="20" t="s">
        <v>522</v>
      </c>
      <c r="B145" s="20" t="s">
        <v>525</v>
      </c>
      <c r="C145" s="20">
        <v>2</v>
      </c>
      <c r="D145" s="20">
        <v>7.53</v>
      </c>
      <c r="E145" s="20">
        <f t="shared" si="0"/>
        <v>15.06</v>
      </c>
      <c r="F145" s="20" t="s">
        <v>139</v>
      </c>
      <c r="G145" s="20" t="str">
        <f t="shared" si="1"/>
        <v>2025</v>
      </c>
    </row>
    <row r="146" spans="1:7" ht="15.75" customHeight="1" x14ac:dyDescent="0.2">
      <c r="A146" s="20" t="s">
        <v>549</v>
      </c>
      <c r="B146" s="20" t="s">
        <v>550</v>
      </c>
      <c r="C146" s="20">
        <v>20</v>
      </c>
      <c r="D146" s="20">
        <v>366.78</v>
      </c>
      <c r="E146" s="20">
        <f t="shared" si="0"/>
        <v>7335.5999999999995</v>
      </c>
      <c r="F146" s="20" t="s">
        <v>627</v>
      </c>
      <c r="G146" s="20" t="str">
        <f t="shared" si="1"/>
        <v>2024</v>
      </c>
    </row>
    <row r="147" spans="1:7" ht="15.75" customHeight="1" x14ac:dyDescent="0.2">
      <c r="A147" s="20" t="s">
        <v>549</v>
      </c>
      <c r="B147" s="20" t="s">
        <v>598</v>
      </c>
      <c r="C147" s="20">
        <v>44</v>
      </c>
      <c r="D147" s="20">
        <v>173.28</v>
      </c>
      <c r="E147" s="20">
        <f t="shared" si="0"/>
        <v>7624.32</v>
      </c>
      <c r="F147" s="20" t="s">
        <v>225</v>
      </c>
      <c r="G147" s="20" t="str">
        <f t="shared" si="1"/>
        <v>2025</v>
      </c>
    </row>
    <row r="148" spans="1:7" ht="15.75" customHeight="1" x14ac:dyDescent="0.2">
      <c r="A148" s="20" t="s">
        <v>529</v>
      </c>
      <c r="B148" s="20" t="s">
        <v>570</v>
      </c>
      <c r="C148" s="20">
        <v>12</v>
      </c>
      <c r="D148" s="20">
        <v>366.47</v>
      </c>
      <c r="E148" s="20">
        <f t="shared" si="0"/>
        <v>4397.6400000000003</v>
      </c>
      <c r="F148" s="20" t="s">
        <v>628</v>
      </c>
      <c r="G148" s="20" t="str">
        <f t="shared" si="1"/>
        <v>2024</v>
      </c>
    </row>
    <row r="149" spans="1:7" ht="15.75" customHeight="1" x14ac:dyDescent="0.2">
      <c r="A149" s="20" t="s">
        <v>546</v>
      </c>
      <c r="B149" s="20" t="s">
        <v>548</v>
      </c>
      <c r="C149" s="20">
        <v>11</v>
      </c>
      <c r="D149" s="20">
        <v>208.27</v>
      </c>
      <c r="E149" s="20">
        <f t="shared" si="0"/>
        <v>2290.9700000000003</v>
      </c>
      <c r="F149" s="20" t="s">
        <v>629</v>
      </c>
      <c r="G149" s="20" t="str">
        <f t="shared" si="1"/>
        <v>2024</v>
      </c>
    </row>
    <row r="150" spans="1:7" ht="15.75" customHeight="1" x14ac:dyDescent="0.2">
      <c r="A150" s="20" t="s">
        <v>546</v>
      </c>
      <c r="B150" s="20" t="s">
        <v>560</v>
      </c>
      <c r="C150" s="20">
        <v>13</v>
      </c>
      <c r="D150" s="20">
        <v>193.51</v>
      </c>
      <c r="E150" s="20">
        <f t="shared" si="0"/>
        <v>2515.63</v>
      </c>
      <c r="F150" s="20" t="s">
        <v>630</v>
      </c>
      <c r="G150" s="20" t="str">
        <f t="shared" si="1"/>
        <v>2024</v>
      </c>
    </row>
    <row r="151" spans="1:7" ht="15.75" customHeight="1" x14ac:dyDescent="0.2">
      <c r="A151" s="20" t="s">
        <v>546</v>
      </c>
      <c r="B151" s="20" t="s">
        <v>547</v>
      </c>
      <c r="C151" s="20">
        <v>35</v>
      </c>
      <c r="D151" s="20">
        <v>487.2</v>
      </c>
      <c r="E151" s="20">
        <f t="shared" si="0"/>
        <v>17052</v>
      </c>
      <c r="F151" s="20" t="s">
        <v>438</v>
      </c>
      <c r="G151" s="20" t="str">
        <f t="shared" si="1"/>
        <v>2025</v>
      </c>
    </row>
    <row r="152" spans="1:7" ht="15.75" customHeight="1" x14ac:dyDescent="0.2">
      <c r="A152" s="20" t="s">
        <v>529</v>
      </c>
      <c r="B152" s="20" t="s">
        <v>570</v>
      </c>
      <c r="C152" s="20">
        <v>44</v>
      </c>
      <c r="D152" s="20">
        <v>454.37</v>
      </c>
      <c r="E152" s="20">
        <f t="shared" si="0"/>
        <v>19992.28</v>
      </c>
      <c r="F152" s="20" t="s">
        <v>631</v>
      </c>
      <c r="G152" s="20" t="str">
        <f t="shared" si="1"/>
        <v>2024</v>
      </c>
    </row>
    <row r="153" spans="1:7" ht="15.75" customHeight="1" x14ac:dyDescent="0.2">
      <c r="A153" s="20" t="s">
        <v>546</v>
      </c>
      <c r="B153" s="20" t="s">
        <v>212</v>
      </c>
      <c r="C153" s="20">
        <v>6</v>
      </c>
      <c r="D153" s="20">
        <v>43.24</v>
      </c>
      <c r="E153" s="20">
        <f t="shared" si="0"/>
        <v>259.44</v>
      </c>
      <c r="F153" s="20" t="s">
        <v>295</v>
      </c>
      <c r="G153" s="20" t="str">
        <f t="shared" si="1"/>
        <v>2025</v>
      </c>
    </row>
    <row r="154" spans="1:7" ht="15.75" customHeight="1" x14ac:dyDescent="0.2">
      <c r="A154" s="20" t="s">
        <v>536</v>
      </c>
      <c r="B154" s="20" t="s">
        <v>600</v>
      </c>
      <c r="C154" s="20">
        <v>41</v>
      </c>
      <c r="D154" s="20">
        <v>419.26</v>
      </c>
      <c r="E154" s="20">
        <f t="shared" si="0"/>
        <v>17189.66</v>
      </c>
      <c r="F154" s="20" t="s">
        <v>632</v>
      </c>
      <c r="G154" s="20" t="str">
        <f t="shared" si="1"/>
        <v>2024</v>
      </c>
    </row>
    <row r="155" spans="1:7" ht="15.75" customHeight="1" x14ac:dyDescent="0.2">
      <c r="A155" s="20" t="s">
        <v>546</v>
      </c>
      <c r="B155" s="20" t="s">
        <v>569</v>
      </c>
      <c r="C155" s="20">
        <v>40</v>
      </c>
      <c r="D155" s="20">
        <v>18.920000000000002</v>
      </c>
      <c r="E155" s="20">
        <f t="shared" si="0"/>
        <v>756.80000000000007</v>
      </c>
      <c r="F155" s="20" t="s">
        <v>633</v>
      </c>
      <c r="G155" s="20" t="str">
        <f t="shared" si="1"/>
        <v>2024</v>
      </c>
    </row>
    <row r="156" spans="1:7" ht="15.75" customHeight="1" x14ac:dyDescent="0.2">
      <c r="A156" s="20" t="s">
        <v>514</v>
      </c>
      <c r="B156" s="20" t="s">
        <v>572</v>
      </c>
      <c r="C156" s="20">
        <v>29</v>
      </c>
      <c r="D156" s="20">
        <v>449.09</v>
      </c>
      <c r="E156" s="20">
        <f t="shared" si="0"/>
        <v>13023.609999999999</v>
      </c>
      <c r="F156" s="20" t="s">
        <v>634</v>
      </c>
      <c r="G156" s="20" t="str">
        <f t="shared" si="1"/>
        <v>2024</v>
      </c>
    </row>
    <row r="157" spans="1:7" ht="15.75" customHeight="1" x14ac:dyDescent="0.2">
      <c r="A157" s="20" t="s">
        <v>71</v>
      </c>
      <c r="B157" s="20" t="s">
        <v>92</v>
      </c>
      <c r="C157" s="20">
        <v>6</v>
      </c>
      <c r="D157" s="20">
        <v>376.57</v>
      </c>
      <c r="E157" s="20">
        <f t="shared" si="0"/>
        <v>2259.42</v>
      </c>
      <c r="F157" s="20" t="s">
        <v>492</v>
      </c>
      <c r="G157" s="20" t="str">
        <f t="shared" si="1"/>
        <v>2025</v>
      </c>
    </row>
    <row r="158" spans="1:7" ht="15.75" customHeight="1" x14ac:dyDescent="0.2">
      <c r="A158" s="20" t="s">
        <v>546</v>
      </c>
      <c r="B158" s="20" t="s">
        <v>212</v>
      </c>
      <c r="C158" s="20">
        <v>50</v>
      </c>
      <c r="D158" s="20">
        <v>10.44</v>
      </c>
      <c r="E158" s="20">
        <f t="shared" si="0"/>
        <v>522</v>
      </c>
      <c r="F158" s="20" t="s">
        <v>246</v>
      </c>
      <c r="G158" s="20" t="str">
        <f t="shared" si="1"/>
        <v>2025</v>
      </c>
    </row>
    <row r="159" spans="1:7" ht="15.75" customHeight="1" x14ac:dyDescent="0.2">
      <c r="A159" s="20" t="s">
        <v>529</v>
      </c>
      <c r="B159" s="20" t="s">
        <v>570</v>
      </c>
      <c r="C159" s="20">
        <v>24</v>
      </c>
      <c r="D159" s="20">
        <v>327.96</v>
      </c>
      <c r="E159" s="20">
        <f t="shared" si="0"/>
        <v>7871.0399999999991</v>
      </c>
      <c r="F159" s="20" t="s">
        <v>635</v>
      </c>
      <c r="G159" s="20" t="str">
        <f t="shared" si="1"/>
        <v>2024</v>
      </c>
    </row>
    <row r="160" spans="1:7" ht="15.75" customHeight="1" x14ac:dyDescent="0.2">
      <c r="A160" s="20" t="s">
        <v>549</v>
      </c>
      <c r="B160" s="20" t="s">
        <v>565</v>
      </c>
      <c r="C160" s="20">
        <v>31</v>
      </c>
      <c r="D160" s="20">
        <v>372.72</v>
      </c>
      <c r="E160" s="20">
        <f t="shared" si="0"/>
        <v>11554.320000000002</v>
      </c>
      <c r="F160" s="20" t="s">
        <v>636</v>
      </c>
      <c r="G160" s="20" t="str">
        <f t="shared" si="1"/>
        <v>2024</v>
      </c>
    </row>
    <row r="161" spans="1:7" ht="15.75" customHeight="1" x14ac:dyDescent="0.2">
      <c r="A161" s="20" t="s">
        <v>71</v>
      </c>
      <c r="B161" s="20" t="s">
        <v>92</v>
      </c>
      <c r="C161" s="20">
        <v>32</v>
      </c>
      <c r="D161" s="20">
        <v>265.14</v>
      </c>
      <c r="E161" s="20">
        <f t="shared" si="0"/>
        <v>8484.48</v>
      </c>
      <c r="F161" s="20" t="s">
        <v>637</v>
      </c>
      <c r="G161" s="20" t="str">
        <f t="shared" si="1"/>
        <v>2024</v>
      </c>
    </row>
    <row r="162" spans="1:7" ht="15.75" customHeight="1" x14ac:dyDescent="0.2">
      <c r="A162" s="20" t="s">
        <v>536</v>
      </c>
      <c r="B162" s="20" t="s">
        <v>563</v>
      </c>
      <c r="C162" s="20">
        <v>39</v>
      </c>
      <c r="D162" s="20">
        <v>62.73</v>
      </c>
      <c r="E162" s="20">
        <f t="shared" si="0"/>
        <v>2446.4699999999998</v>
      </c>
      <c r="F162" s="20" t="s">
        <v>129</v>
      </c>
      <c r="G162" s="20" t="str">
        <f t="shared" si="1"/>
        <v>2025</v>
      </c>
    </row>
    <row r="163" spans="1:7" ht="15.75" customHeight="1" x14ac:dyDescent="0.2">
      <c r="A163" s="20" t="s">
        <v>522</v>
      </c>
      <c r="B163" s="20" t="s">
        <v>545</v>
      </c>
      <c r="C163" s="20">
        <v>49</v>
      </c>
      <c r="D163" s="20">
        <v>228.21</v>
      </c>
      <c r="E163" s="20">
        <f t="shared" si="0"/>
        <v>11182.29</v>
      </c>
      <c r="F163" s="20" t="s">
        <v>638</v>
      </c>
      <c r="G163" s="20" t="str">
        <f t="shared" si="1"/>
        <v>2024</v>
      </c>
    </row>
    <row r="164" spans="1:7" ht="15.75" customHeight="1" x14ac:dyDescent="0.2">
      <c r="A164" s="20" t="s">
        <v>71</v>
      </c>
      <c r="B164" s="20" t="s">
        <v>70</v>
      </c>
      <c r="C164" s="20">
        <v>46</v>
      </c>
      <c r="D164" s="20">
        <v>145.32</v>
      </c>
      <c r="E164" s="20">
        <f t="shared" si="0"/>
        <v>6684.7199999999993</v>
      </c>
      <c r="F164" s="20" t="s">
        <v>639</v>
      </c>
      <c r="G164" s="20" t="str">
        <f t="shared" si="1"/>
        <v>2024</v>
      </c>
    </row>
    <row r="165" spans="1:7" ht="15.75" customHeight="1" x14ac:dyDescent="0.2">
      <c r="A165" s="20" t="s">
        <v>71</v>
      </c>
      <c r="B165" s="20" t="s">
        <v>92</v>
      </c>
      <c r="C165" s="20">
        <v>30</v>
      </c>
      <c r="D165" s="20">
        <v>346.78</v>
      </c>
      <c r="E165" s="20">
        <f t="shared" si="0"/>
        <v>10403.4</v>
      </c>
      <c r="F165" s="20" t="s">
        <v>349</v>
      </c>
      <c r="G165" s="20" t="str">
        <f t="shared" si="1"/>
        <v>2025</v>
      </c>
    </row>
    <row r="166" spans="1:7" ht="15.75" customHeight="1" x14ac:dyDescent="0.2">
      <c r="A166" s="20" t="s">
        <v>536</v>
      </c>
      <c r="B166" s="20" t="s">
        <v>563</v>
      </c>
      <c r="C166" s="20">
        <v>10</v>
      </c>
      <c r="D166" s="20">
        <v>328.46</v>
      </c>
      <c r="E166" s="20">
        <f t="shared" si="0"/>
        <v>3284.6</v>
      </c>
      <c r="F166" s="20" t="s">
        <v>640</v>
      </c>
      <c r="G166" s="20" t="str">
        <f t="shared" si="1"/>
        <v>2024</v>
      </c>
    </row>
    <row r="167" spans="1:7" ht="15.75" customHeight="1" x14ac:dyDescent="0.2">
      <c r="A167" s="20" t="s">
        <v>536</v>
      </c>
      <c r="B167" s="20" t="s">
        <v>600</v>
      </c>
      <c r="C167" s="20">
        <v>14</v>
      </c>
      <c r="D167" s="20">
        <v>315.47000000000003</v>
      </c>
      <c r="E167" s="20">
        <f t="shared" si="0"/>
        <v>4416.58</v>
      </c>
      <c r="F167" s="20" t="s">
        <v>595</v>
      </c>
      <c r="G167" s="20" t="str">
        <f t="shared" si="1"/>
        <v>2024</v>
      </c>
    </row>
    <row r="168" spans="1:7" ht="15.75" customHeight="1" x14ac:dyDescent="0.2">
      <c r="A168" s="20" t="s">
        <v>536</v>
      </c>
      <c r="B168" s="20" t="s">
        <v>600</v>
      </c>
      <c r="C168" s="20">
        <v>9</v>
      </c>
      <c r="D168" s="20">
        <v>236.42</v>
      </c>
      <c r="E168" s="20">
        <f t="shared" si="0"/>
        <v>2127.7799999999997</v>
      </c>
      <c r="F168" s="20" t="s">
        <v>289</v>
      </c>
      <c r="G168" s="20" t="str">
        <f t="shared" si="1"/>
        <v>2025</v>
      </c>
    </row>
    <row r="169" spans="1:7" ht="15.75" customHeight="1" x14ac:dyDescent="0.2">
      <c r="A169" s="20" t="s">
        <v>527</v>
      </c>
      <c r="B169" s="20" t="s">
        <v>611</v>
      </c>
      <c r="C169" s="20">
        <v>27</v>
      </c>
      <c r="D169" s="20">
        <v>77.56</v>
      </c>
      <c r="E169" s="20">
        <f t="shared" si="0"/>
        <v>2094.12</v>
      </c>
      <c r="F169" s="20" t="s">
        <v>130</v>
      </c>
      <c r="G169" s="20" t="str">
        <f t="shared" si="1"/>
        <v>2025</v>
      </c>
    </row>
    <row r="170" spans="1:7" ht="15.75" customHeight="1" x14ac:dyDescent="0.2">
      <c r="A170" s="20" t="s">
        <v>549</v>
      </c>
      <c r="B170" s="20" t="s">
        <v>604</v>
      </c>
      <c r="C170" s="20">
        <v>14</v>
      </c>
      <c r="D170" s="20">
        <v>413.77</v>
      </c>
      <c r="E170" s="20">
        <f t="shared" si="0"/>
        <v>5792.78</v>
      </c>
      <c r="F170" s="20" t="s">
        <v>393</v>
      </c>
      <c r="G170" s="20" t="str">
        <f t="shared" si="1"/>
        <v>2025</v>
      </c>
    </row>
    <row r="171" spans="1:7" ht="15.75" customHeight="1" x14ac:dyDescent="0.2">
      <c r="A171" s="20" t="s">
        <v>546</v>
      </c>
      <c r="B171" s="20" t="s">
        <v>212</v>
      </c>
      <c r="C171" s="20">
        <v>44</v>
      </c>
      <c r="D171" s="20">
        <v>132.63999999999999</v>
      </c>
      <c r="E171" s="20">
        <f t="shared" si="0"/>
        <v>5836.16</v>
      </c>
      <c r="F171" s="20" t="s">
        <v>289</v>
      </c>
      <c r="G171" s="20" t="str">
        <f t="shared" si="1"/>
        <v>2025</v>
      </c>
    </row>
    <row r="172" spans="1:7" ht="15.75" customHeight="1" x14ac:dyDescent="0.2">
      <c r="A172" s="20" t="s">
        <v>549</v>
      </c>
      <c r="B172" s="20" t="s">
        <v>550</v>
      </c>
      <c r="C172" s="20">
        <v>4</v>
      </c>
      <c r="D172" s="20">
        <v>144.58000000000001</v>
      </c>
      <c r="E172" s="20">
        <f t="shared" si="0"/>
        <v>578.32000000000005</v>
      </c>
      <c r="F172" s="20" t="s">
        <v>641</v>
      </c>
      <c r="G172" s="20" t="str">
        <f t="shared" si="1"/>
        <v>2024</v>
      </c>
    </row>
    <row r="173" spans="1:7" ht="15.75" customHeight="1" x14ac:dyDescent="0.2">
      <c r="A173" s="20" t="s">
        <v>529</v>
      </c>
      <c r="B173" s="20" t="s">
        <v>570</v>
      </c>
      <c r="C173" s="20">
        <v>13</v>
      </c>
      <c r="D173" s="20">
        <v>107.52</v>
      </c>
      <c r="E173" s="20">
        <f t="shared" si="0"/>
        <v>1397.76</v>
      </c>
      <c r="F173" s="20" t="s">
        <v>67</v>
      </c>
      <c r="G173" s="20" t="str">
        <f t="shared" si="1"/>
        <v>2025</v>
      </c>
    </row>
    <row r="174" spans="1:7" ht="15.75" customHeight="1" x14ac:dyDescent="0.2">
      <c r="A174" s="20" t="s">
        <v>514</v>
      </c>
      <c r="B174" s="20" t="s">
        <v>515</v>
      </c>
      <c r="C174" s="20">
        <v>39</v>
      </c>
      <c r="D174" s="20">
        <v>411.2</v>
      </c>
      <c r="E174" s="20">
        <f t="shared" si="0"/>
        <v>16036.8</v>
      </c>
      <c r="F174" s="20" t="s">
        <v>173</v>
      </c>
      <c r="G174" s="20" t="str">
        <f t="shared" si="1"/>
        <v>2025</v>
      </c>
    </row>
    <row r="175" spans="1:7" ht="15.75" customHeight="1" x14ac:dyDescent="0.2">
      <c r="A175" s="20" t="s">
        <v>549</v>
      </c>
      <c r="B175" s="20" t="s">
        <v>604</v>
      </c>
      <c r="C175" s="20">
        <v>31</v>
      </c>
      <c r="D175" s="20">
        <v>453.01</v>
      </c>
      <c r="E175" s="20">
        <f t="shared" si="0"/>
        <v>14043.31</v>
      </c>
      <c r="F175" s="20" t="s">
        <v>293</v>
      </c>
      <c r="G175" s="20" t="str">
        <f t="shared" si="1"/>
        <v>2025</v>
      </c>
    </row>
    <row r="176" spans="1:7" ht="15.75" customHeight="1" x14ac:dyDescent="0.2">
      <c r="A176" s="20" t="s">
        <v>71</v>
      </c>
      <c r="B176" s="20" t="s">
        <v>85</v>
      </c>
      <c r="C176" s="20">
        <v>26</v>
      </c>
      <c r="D176" s="20">
        <v>54.44</v>
      </c>
      <c r="E176" s="20">
        <f t="shared" si="0"/>
        <v>1415.44</v>
      </c>
      <c r="F176" s="20" t="s">
        <v>175</v>
      </c>
      <c r="G176" s="20" t="str">
        <f t="shared" si="1"/>
        <v>2025</v>
      </c>
    </row>
    <row r="177" spans="1:7" ht="15.75" customHeight="1" x14ac:dyDescent="0.2">
      <c r="A177" s="20" t="s">
        <v>514</v>
      </c>
      <c r="B177" s="20" t="s">
        <v>572</v>
      </c>
      <c r="C177" s="20">
        <v>45</v>
      </c>
      <c r="D177" s="20">
        <v>419.96</v>
      </c>
      <c r="E177" s="20">
        <f t="shared" si="0"/>
        <v>18898.2</v>
      </c>
      <c r="F177" s="20" t="s">
        <v>449</v>
      </c>
      <c r="G177" s="20" t="str">
        <f t="shared" si="1"/>
        <v>2025</v>
      </c>
    </row>
    <row r="178" spans="1:7" ht="15.75" customHeight="1" x14ac:dyDescent="0.2">
      <c r="A178" s="20" t="s">
        <v>514</v>
      </c>
      <c r="B178" s="20" t="s">
        <v>520</v>
      </c>
      <c r="C178" s="20">
        <v>25</v>
      </c>
      <c r="D178" s="20">
        <v>465.51</v>
      </c>
      <c r="E178" s="20">
        <f t="shared" si="0"/>
        <v>11637.75</v>
      </c>
      <c r="F178" s="20" t="s">
        <v>642</v>
      </c>
      <c r="G178" s="20" t="str">
        <f t="shared" si="1"/>
        <v>2024</v>
      </c>
    </row>
    <row r="179" spans="1:7" ht="15.75" customHeight="1" x14ac:dyDescent="0.2">
      <c r="A179" s="20" t="s">
        <v>549</v>
      </c>
      <c r="B179" s="20" t="s">
        <v>565</v>
      </c>
      <c r="C179" s="20">
        <v>30</v>
      </c>
      <c r="D179" s="20">
        <v>475.09</v>
      </c>
      <c r="E179" s="20">
        <f t="shared" si="0"/>
        <v>14252.699999999999</v>
      </c>
      <c r="F179" s="20" t="s">
        <v>643</v>
      </c>
      <c r="G179" s="20" t="str">
        <f t="shared" si="1"/>
        <v>2024</v>
      </c>
    </row>
    <row r="180" spans="1:7" ht="15.75" customHeight="1" x14ac:dyDescent="0.2">
      <c r="A180" s="20" t="s">
        <v>522</v>
      </c>
      <c r="B180" s="20" t="s">
        <v>626</v>
      </c>
      <c r="C180" s="20">
        <v>47</v>
      </c>
      <c r="D180" s="20">
        <v>352.95</v>
      </c>
      <c r="E180" s="20">
        <f t="shared" si="0"/>
        <v>16588.649999999998</v>
      </c>
      <c r="F180" s="20" t="s">
        <v>644</v>
      </c>
      <c r="G180" s="20" t="str">
        <f t="shared" si="1"/>
        <v>2024</v>
      </c>
    </row>
    <row r="181" spans="1:7" ht="15.75" customHeight="1" x14ac:dyDescent="0.2">
      <c r="A181" s="20" t="s">
        <v>529</v>
      </c>
      <c r="B181" s="20" t="s">
        <v>568</v>
      </c>
      <c r="C181" s="20">
        <v>50</v>
      </c>
      <c r="D181" s="20">
        <v>98.03</v>
      </c>
      <c r="E181" s="20">
        <f t="shared" si="0"/>
        <v>4901.5</v>
      </c>
      <c r="F181" s="20" t="s">
        <v>156</v>
      </c>
      <c r="G181" s="20" t="str">
        <f t="shared" si="1"/>
        <v>2025</v>
      </c>
    </row>
    <row r="182" spans="1:7" ht="15.75" customHeight="1" x14ac:dyDescent="0.2">
      <c r="A182" s="20" t="s">
        <v>522</v>
      </c>
      <c r="B182" s="20" t="s">
        <v>626</v>
      </c>
      <c r="C182" s="20">
        <v>44</v>
      </c>
      <c r="D182" s="20">
        <v>43.96</v>
      </c>
      <c r="E182" s="20">
        <f t="shared" si="0"/>
        <v>1934.24</v>
      </c>
      <c r="F182" s="20" t="s">
        <v>388</v>
      </c>
      <c r="G182" s="20" t="str">
        <f t="shared" si="1"/>
        <v>2025</v>
      </c>
    </row>
    <row r="183" spans="1:7" ht="15.75" customHeight="1" x14ac:dyDescent="0.2">
      <c r="A183" s="20" t="s">
        <v>527</v>
      </c>
      <c r="B183" s="20" t="s">
        <v>611</v>
      </c>
      <c r="C183" s="20">
        <v>6</v>
      </c>
      <c r="D183" s="20">
        <v>194.25</v>
      </c>
      <c r="E183" s="20">
        <f t="shared" si="0"/>
        <v>1165.5</v>
      </c>
      <c r="F183" s="20" t="s">
        <v>645</v>
      </c>
      <c r="G183" s="20" t="str">
        <f t="shared" si="1"/>
        <v>2024</v>
      </c>
    </row>
    <row r="184" spans="1:7" ht="15.75" customHeight="1" x14ac:dyDescent="0.2">
      <c r="A184" s="20" t="s">
        <v>546</v>
      </c>
      <c r="B184" s="20" t="s">
        <v>212</v>
      </c>
      <c r="C184" s="20">
        <v>40</v>
      </c>
      <c r="D184" s="20">
        <v>421.13</v>
      </c>
      <c r="E184" s="20">
        <f t="shared" si="0"/>
        <v>16845.2</v>
      </c>
      <c r="F184" s="20" t="s">
        <v>646</v>
      </c>
      <c r="G184" s="20" t="str">
        <f t="shared" si="1"/>
        <v>2024</v>
      </c>
    </row>
    <row r="185" spans="1:7" ht="15.75" customHeight="1" x14ac:dyDescent="0.2">
      <c r="A185" s="20" t="s">
        <v>522</v>
      </c>
      <c r="B185" s="20" t="s">
        <v>525</v>
      </c>
      <c r="C185" s="20">
        <v>43</v>
      </c>
      <c r="D185" s="20">
        <v>365.67</v>
      </c>
      <c r="E185" s="20">
        <f t="shared" si="0"/>
        <v>15723.810000000001</v>
      </c>
      <c r="F185" s="20" t="s">
        <v>647</v>
      </c>
      <c r="G185" s="20" t="str">
        <f t="shared" si="1"/>
        <v>2024</v>
      </c>
    </row>
    <row r="186" spans="1:7" ht="15.75" customHeight="1" x14ac:dyDescent="0.2">
      <c r="A186" s="20" t="s">
        <v>522</v>
      </c>
      <c r="B186" s="20" t="s">
        <v>523</v>
      </c>
      <c r="C186" s="20">
        <v>38</v>
      </c>
      <c r="D186" s="20">
        <v>165.34</v>
      </c>
      <c r="E186" s="20">
        <f t="shared" si="0"/>
        <v>6282.92</v>
      </c>
      <c r="F186" s="20" t="s">
        <v>631</v>
      </c>
      <c r="G186" s="20" t="str">
        <f t="shared" si="1"/>
        <v>2024</v>
      </c>
    </row>
    <row r="187" spans="1:7" ht="15.75" customHeight="1" x14ac:dyDescent="0.2">
      <c r="A187" s="20" t="s">
        <v>522</v>
      </c>
      <c r="B187" s="20" t="s">
        <v>523</v>
      </c>
      <c r="C187" s="20">
        <v>41</v>
      </c>
      <c r="D187" s="20">
        <v>286.44</v>
      </c>
      <c r="E187" s="20">
        <f t="shared" si="0"/>
        <v>11744.039999999999</v>
      </c>
      <c r="F187" s="20" t="s">
        <v>648</v>
      </c>
      <c r="G187" s="20" t="str">
        <f t="shared" si="1"/>
        <v>2025</v>
      </c>
    </row>
    <row r="188" spans="1:7" ht="15.75" customHeight="1" x14ac:dyDescent="0.2">
      <c r="A188" s="20" t="s">
        <v>546</v>
      </c>
      <c r="B188" s="20" t="s">
        <v>547</v>
      </c>
      <c r="C188" s="20">
        <v>12</v>
      </c>
      <c r="D188" s="20">
        <v>462.17</v>
      </c>
      <c r="E188" s="20">
        <f t="shared" si="0"/>
        <v>5546.04</v>
      </c>
      <c r="F188" s="20" t="s">
        <v>486</v>
      </c>
      <c r="G188" s="20" t="str">
        <f t="shared" si="1"/>
        <v>2025</v>
      </c>
    </row>
    <row r="189" spans="1:7" ht="15.75" customHeight="1" x14ac:dyDescent="0.2">
      <c r="A189" s="20" t="s">
        <v>529</v>
      </c>
      <c r="B189" s="20" t="s">
        <v>530</v>
      </c>
      <c r="C189" s="20">
        <v>50</v>
      </c>
      <c r="D189" s="20">
        <v>254.23</v>
      </c>
      <c r="E189" s="20">
        <f t="shared" si="0"/>
        <v>12711.5</v>
      </c>
      <c r="F189" s="20" t="s">
        <v>210</v>
      </c>
      <c r="G189" s="20" t="str">
        <f t="shared" si="1"/>
        <v>2025</v>
      </c>
    </row>
    <row r="190" spans="1:7" ht="15.75" customHeight="1" x14ac:dyDescent="0.2">
      <c r="A190" s="20" t="s">
        <v>536</v>
      </c>
      <c r="B190" s="20" t="s">
        <v>562</v>
      </c>
      <c r="C190" s="20">
        <v>43</v>
      </c>
      <c r="D190" s="20">
        <v>409.24</v>
      </c>
      <c r="E190" s="20">
        <f t="shared" si="0"/>
        <v>17597.32</v>
      </c>
      <c r="F190" s="20" t="s">
        <v>167</v>
      </c>
      <c r="G190" s="20" t="str">
        <f t="shared" si="1"/>
        <v>2025</v>
      </c>
    </row>
    <row r="191" spans="1:7" ht="15.75" customHeight="1" x14ac:dyDescent="0.2">
      <c r="A191" s="20" t="s">
        <v>549</v>
      </c>
      <c r="B191" s="20" t="s">
        <v>550</v>
      </c>
      <c r="C191" s="20">
        <v>29</v>
      </c>
      <c r="D191" s="20">
        <v>157.51</v>
      </c>
      <c r="E191" s="20">
        <f t="shared" si="0"/>
        <v>4567.79</v>
      </c>
      <c r="F191" s="20" t="s">
        <v>649</v>
      </c>
      <c r="G191" s="20" t="str">
        <f t="shared" si="1"/>
        <v>2024</v>
      </c>
    </row>
    <row r="192" spans="1:7" ht="15.75" customHeight="1" x14ac:dyDescent="0.2">
      <c r="A192" s="20" t="s">
        <v>536</v>
      </c>
      <c r="B192" s="20" t="s">
        <v>600</v>
      </c>
      <c r="C192" s="20">
        <v>1</v>
      </c>
      <c r="D192" s="20">
        <v>361.28</v>
      </c>
      <c r="E192" s="20">
        <f t="shared" si="0"/>
        <v>361.28</v>
      </c>
      <c r="F192" s="20" t="s">
        <v>425</v>
      </c>
      <c r="G192" s="20" t="str">
        <f t="shared" si="1"/>
        <v>2025</v>
      </c>
    </row>
    <row r="193" spans="1:7" ht="15.75" customHeight="1" x14ac:dyDescent="0.2">
      <c r="A193" s="20" t="s">
        <v>71</v>
      </c>
      <c r="B193" s="20" t="s">
        <v>70</v>
      </c>
      <c r="C193" s="20">
        <v>3</v>
      </c>
      <c r="D193" s="20">
        <v>408.96</v>
      </c>
      <c r="E193" s="20">
        <f t="shared" si="0"/>
        <v>1226.8799999999999</v>
      </c>
      <c r="F193" s="20" t="s">
        <v>650</v>
      </c>
      <c r="G193" s="20" t="str">
        <f t="shared" si="1"/>
        <v>2024</v>
      </c>
    </row>
    <row r="194" spans="1:7" ht="15.75" customHeight="1" x14ac:dyDescent="0.2">
      <c r="A194" s="20" t="s">
        <v>514</v>
      </c>
      <c r="B194" s="20" t="s">
        <v>520</v>
      </c>
      <c r="C194" s="20">
        <v>18</v>
      </c>
      <c r="D194" s="20">
        <v>380.95</v>
      </c>
      <c r="E194" s="20">
        <f t="shared" si="0"/>
        <v>6857.0999999999995</v>
      </c>
      <c r="F194" s="20" t="s">
        <v>651</v>
      </c>
      <c r="G194" s="20" t="str">
        <f t="shared" si="1"/>
        <v>2024</v>
      </c>
    </row>
    <row r="195" spans="1:7" ht="15.75" customHeight="1" x14ac:dyDescent="0.2">
      <c r="A195" s="20" t="s">
        <v>527</v>
      </c>
      <c r="B195" s="20" t="s">
        <v>541</v>
      </c>
      <c r="C195" s="20">
        <v>50</v>
      </c>
      <c r="D195" s="20">
        <v>287.99</v>
      </c>
      <c r="E195" s="20">
        <f t="shared" si="0"/>
        <v>14399.5</v>
      </c>
      <c r="F195" s="20" t="s">
        <v>111</v>
      </c>
      <c r="G195" s="20" t="str">
        <f t="shared" si="1"/>
        <v>2025</v>
      </c>
    </row>
    <row r="196" spans="1:7" ht="15.75" customHeight="1" x14ac:dyDescent="0.2">
      <c r="A196" s="20" t="s">
        <v>536</v>
      </c>
      <c r="B196" s="20" t="s">
        <v>563</v>
      </c>
      <c r="C196" s="20">
        <v>37</v>
      </c>
      <c r="D196" s="20">
        <v>147.83000000000001</v>
      </c>
      <c r="E196" s="20">
        <f t="shared" si="0"/>
        <v>5469.71</v>
      </c>
      <c r="F196" s="20" t="s">
        <v>292</v>
      </c>
      <c r="G196" s="20" t="str">
        <f t="shared" si="1"/>
        <v>2025</v>
      </c>
    </row>
    <row r="197" spans="1:7" ht="15.75" customHeight="1" x14ac:dyDescent="0.2">
      <c r="A197" s="20" t="s">
        <v>522</v>
      </c>
      <c r="B197" s="20" t="s">
        <v>626</v>
      </c>
      <c r="C197" s="20">
        <v>49</v>
      </c>
      <c r="D197" s="20">
        <v>330.49</v>
      </c>
      <c r="E197" s="20">
        <f t="shared" si="0"/>
        <v>16194.01</v>
      </c>
      <c r="F197" s="20" t="s">
        <v>652</v>
      </c>
      <c r="G197" s="20" t="str">
        <f t="shared" si="1"/>
        <v>2025</v>
      </c>
    </row>
    <row r="198" spans="1:7" ht="15.75" customHeight="1" x14ac:dyDescent="0.2">
      <c r="A198" s="20" t="s">
        <v>546</v>
      </c>
      <c r="B198" s="20" t="s">
        <v>560</v>
      </c>
      <c r="C198" s="20">
        <v>6</v>
      </c>
      <c r="D198" s="20">
        <v>180.87</v>
      </c>
      <c r="E198" s="20">
        <f t="shared" si="0"/>
        <v>1085.22</v>
      </c>
      <c r="F198" s="20" t="s">
        <v>653</v>
      </c>
      <c r="G198" s="20" t="str">
        <f t="shared" si="1"/>
        <v>2024</v>
      </c>
    </row>
    <row r="199" spans="1:7" ht="15.75" customHeight="1" x14ac:dyDescent="0.2">
      <c r="A199" s="20" t="s">
        <v>536</v>
      </c>
      <c r="B199" s="20" t="s">
        <v>562</v>
      </c>
      <c r="C199" s="20">
        <v>25</v>
      </c>
      <c r="D199" s="20">
        <v>185.62</v>
      </c>
      <c r="E199" s="20">
        <f t="shared" si="0"/>
        <v>4640.5</v>
      </c>
      <c r="F199" s="20" t="s">
        <v>293</v>
      </c>
      <c r="G199" s="20" t="str">
        <f t="shared" si="1"/>
        <v>2025</v>
      </c>
    </row>
    <row r="200" spans="1:7" ht="15.75" customHeight="1" x14ac:dyDescent="0.2">
      <c r="A200" s="20" t="s">
        <v>522</v>
      </c>
      <c r="B200" s="20" t="s">
        <v>525</v>
      </c>
      <c r="C200" s="20">
        <v>18</v>
      </c>
      <c r="D200" s="20">
        <v>405.43</v>
      </c>
      <c r="E200" s="20">
        <f t="shared" si="0"/>
        <v>7297.74</v>
      </c>
      <c r="F200" s="20" t="s">
        <v>171</v>
      </c>
      <c r="G200" s="20" t="str">
        <f t="shared" si="1"/>
        <v>2025</v>
      </c>
    </row>
    <row r="201" spans="1:7" ht="15.75" customHeight="1" x14ac:dyDescent="0.2">
      <c r="A201" s="20" t="s">
        <v>71</v>
      </c>
      <c r="B201" s="20" t="s">
        <v>78</v>
      </c>
      <c r="C201" s="20">
        <v>35</v>
      </c>
      <c r="D201" s="20">
        <v>415.68</v>
      </c>
      <c r="E201" s="20">
        <f t="shared" si="0"/>
        <v>14548.800000000001</v>
      </c>
      <c r="F201" s="20" t="s">
        <v>173</v>
      </c>
      <c r="G201" s="20" t="str">
        <f t="shared" si="1"/>
        <v>2025</v>
      </c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00"/>
  <sheetViews>
    <sheetView workbookViewId="0"/>
  </sheetViews>
  <sheetFormatPr defaultColWidth="14.390625" defaultRowHeight="15" customHeight="1" x14ac:dyDescent="0.2"/>
  <cols>
    <col min="1" max="1" width="13.5859375" customWidth="1"/>
    <col min="2" max="3" width="12.375" customWidth="1"/>
    <col min="4" max="4" width="10.4921875" customWidth="1"/>
    <col min="5" max="5" width="9.68359375" customWidth="1"/>
    <col min="6" max="6" width="10.89453125" customWidth="1"/>
    <col min="7" max="7" width="5.91796875" customWidth="1"/>
    <col min="8" max="8" width="8.875" customWidth="1"/>
    <col min="9" max="9" width="12.23828125" customWidth="1"/>
    <col min="10" max="10" width="9.01171875" customWidth="1"/>
    <col min="11" max="12" width="8.7421875" customWidth="1"/>
  </cols>
  <sheetData>
    <row r="1" spans="1:12" x14ac:dyDescent="0.2">
      <c r="J1" s="42" t="s">
        <v>654</v>
      </c>
      <c r="K1" s="43"/>
      <c r="L1" s="44"/>
    </row>
    <row r="2" spans="1:12" x14ac:dyDescent="0.2">
      <c r="A2" t="s">
        <v>655</v>
      </c>
      <c r="B2" t="s">
        <v>656</v>
      </c>
      <c r="C2" t="s">
        <v>657</v>
      </c>
      <c r="D2" t="s">
        <v>658</v>
      </c>
      <c r="E2" t="s">
        <v>659</v>
      </c>
      <c r="F2" t="s">
        <v>660</v>
      </c>
      <c r="G2" t="s">
        <v>661</v>
      </c>
      <c r="H2" t="s">
        <v>63</v>
      </c>
      <c r="I2" t="s">
        <v>662</v>
      </c>
      <c r="J2" t="s">
        <v>663</v>
      </c>
      <c r="K2" t="s">
        <v>664</v>
      </c>
      <c r="L2" t="s">
        <v>665</v>
      </c>
    </row>
    <row r="3" spans="1:12" x14ac:dyDescent="0.2">
      <c r="A3" t="s">
        <v>666</v>
      </c>
      <c r="B3" t="s">
        <v>667</v>
      </c>
      <c r="C3" t="s">
        <v>668</v>
      </c>
      <c r="D3" t="s">
        <v>669</v>
      </c>
      <c r="E3">
        <v>13</v>
      </c>
      <c r="F3">
        <v>15</v>
      </c>
      <c r="G3">
        <v>82</v>
      </c>
      <c r="H3" t="s">
        <v>670</v>
      </c>
      <c r="I3">
        <v>82</v>
      </c>
      <c r="J3" t="str">
        <f t="shared" ref="J3:J52" si="0">LEFT(C3,5)</f>
        <v>priya</v>
      </c>
      <c r="K3" t="str">
        <f>RIGHT(C3,5)</f>
        <v>singh</v>
      </c>
    </row>
    <row r="4" spans="1:12" x14ac:dyDescent="0.2">
      <c r="A4" t="s">
        <v>671</v>
      </c>
      <c r="B4" t="s">
        <v>672</v>
      </c>
      <c r="C4" t="s">
        <v>673</v>
      </c>
      <c r="D4" t="s">
        <v>674</v>
      </c>
      <c r="E4">
        <v>18</v>
      </c>
      <c r="F4">
        <v>1</v>
      </c>
      <c r="G4">
        <v>56</v>
      </c>
      <c r="H4" t="s">
        <v>670</v>
      </c>
      <c r="I4">
        <v>56</v>
      </c>
      <c r="J4" t="str">
        <f t="shared" si="0"/>
        <v>rahul</v>
      </c>
    </row>
    <row r="5" spans="1:12" x14ac:dyDescent="0.2">
      <c r="A5" t="s">
        <v>675</v>
      </c>
      <c r="B5" t="s">
        <v>676</v>
      </c>
      <c r="C5" t="s">
        <v>668</v>
      </c>
      <c r="D5" t="s">
        <v>647</v>
      </c>
      <c r="E5">
        <v>10</v>
      </c>
      <c r="F5">
        <v>1</v>
      </c>
      <c r="G5">
        <v>91</v>
      </c>
      <c r="H5" t="s">
        <v>677</v>
      </c>
      <c r="I5">
        <v>91</v>
      </c>
      <c r="J5" t="str">
        <f t="shared" si="0"/>
        <v>priya</v>
      </c>
    </row>
    <row r="6" spans="1:12" x14ac:dyDescent="0.2">
      <c r="A6" t="s">
        <v>678</v>
      </c>
      <c r="B6" t="s">
        <v>679</v>
      </c>
      <c r="C6" t="s">
        <v>673</v>
      </c>
      <c r="D6" t="s">
        <v>680</v>
      </c>
      <c r="E6">
        <v>28</v>
      </c>
      <c r="F6">
        <v>11</v>
      </c>
      <c r="G6">
        <v>80</v>
      </c>
      <c r="H6" t="s">
        <v>677</v>
      </c>
      <c r="I6">
        <v>80</v>
      </c>
      <c r="J6" t="str">
        <f t="shared" si="0"/>
        <v>rahul</v>
      </c>
    </row>
    <row r="7" spans="1:12" x14ac:dyDescent="0.2">
      <c r="A7" t="s">
        <v>681</v>
      </c>
      <c r="B7" t="s">
        <v>682</v>
      </c>
      <c r="C7" t="s">
        <v>673</v>
      </c>
      <c r="D7" t="s">
        <v>683</v>
      </c>
      <c r="E7">
        <v>13</v>
      </c>
      <c r="F7">
        <v>20</v>
      </c>
      <c r="G7">
        <v>58</v>
      </c>
      <c r="H7" t="s">
        <v>670</v>
      </c>
      <c r="I7">
        <v>58</v>
      </c>
      <c r="J7" t="str">
        <f t="shared" si="0"/>
        <v>rahul</v>
      </c>
    </row>
    <row r="8" spans="1:12" x14ac:dyDescent="0.2">
      <c r="A8" t="s">
        <v>684</v>
      </c>
      <c r="B8" t="s">
        <v>685</v>
      </c>
      <c r="C8" t="s">
        <v>668</v>
      </c>
      <c r="D8" t="s">
        <v>686</v>
      </c>
      <c r="E8">
        <v>7</v>
      </c>
      <c r="F8">
        <v>17</v>
      </c>
      <c r="G8">
        <v>53</v>
      </c>
      <c r="H8" t="s">
        <v>677</v>
      </c>
      <c r="I8">
        <v>53</v>
      </c>
      <c r="J8" t="str">
        <f t="shared" si="0"/>
        <v>priya</v>
      </c>
    </row>
    <row r="9" spans="1:12" x14ac:dyDescent="0.2">
      <c r="A9" t="s">
        <v>687</v>
      </c>
      <c r="B9" t="s">
        <v>688</v>
      </c>
      <c r="C9" t="s">
        <v>668</v>
      </c>
      <c r="D9" t="s">
        <v>571</v>
      </c>
      <c r="E9">
        <v>30</v>
      </c>
      <c r="F9">
        <v>12</v>
      </c>
      <c r="G9">
        <v>82</v>
      </c>
      <c r="H9" t="s">
        <v>670</v>
      </c>
      <c r="I9">
        <v>82</v>
      </c>
      <c r="J9" t="str">
        <f t="shared" si="0"/>
        <v>priya</v>
      </c>
    </row>
    <row r="10" spans="1:12" x14ac:dyDescent="0.2">
      <c r="A10" t="s">
        <v>689</v>
      </c>
      <c r="B10" t="s">
        <v>690</v>
      </c>
      <c r="C10" t="s">
        <v>673</v>
      </c>
      <c r="D10" t="s">
        <v>691</v>
      </c>
      <c r="E10">
        <v>14</v>
      </c>
      <c r="F10">
        <v>11</v>
      </c>
      <c r="G10">
        <v>79</v>
      </c>
      <c r="H10" t="s">
        <v>692</v>
      </c>
      <c r="I10">
        <v>79</v>
      </c>
      <c r="J10" t="str">
        <f t="shared" si="0"/>
        <v>rahul</v>
      </c>
    </row>
    <row r="11" spans="1:12" x14ac:dyDescent="0.2">
      <c r="A11" t="s">
        <v>693</v>
      </c>
      <c r="B11" t="s">
        <v>694</v>
      </c>
      <c r="C11" t="s">
        <v>695</v>
      </c>
      <c r="D11" t="s">
        <v>564</v>
      </c>
      <c r="E11">
        <v>3</v>
      </c>
      <c r="F11">
        <v>4</v>
      </c>
      <c r="G11">
        <v>85</v>
      </c>
      <c r="H11" t="s">
        <v>677</v>
      </c>
      <c r="I11">
        <v>85</v>
      </c>
      <c r="J11" t="str">
        <f t="shared" si="0"/>
        <v>anita</v>
      </c>
    </row>
    <row r="12" spans="1:12" x14ac:dyDescent="0.2">
      <c r="A12" t="s">
        <v>696</v>
      </c>
      <c r="B12" t="s">
        <v>697</v>
      </c>
      <c r="C12" t="s">
        <v>698</v>
      </c>
      <c r="D12" t="s">
        <v>699</v>
      </c>
      <c r="E12">
        <v>25</v>
      </c>
      <c r="F12">
        <v>7</v>
      </c>
      <c r="G12">
        <v>58</v>
      </c>
      <c r="H12" t="s">
        <v>692</v>
      </c>
      <c r="I12">
        <v>58</v>
      </c>
      <c r="J12" t="str">
        <f t="shared" si="0"/>
        <v>tanma</v>
      </c>
    </row>
    <row r="13" spans="1:12" x14ac:dyDescent="0.2">
      <c r="A13" t="s">
        <v>700</v>
      </c>
      <c r="B13" t="s">
        <v>701</v>
      </c>
      <c r="C13" t="s">
        <v>673</v>
      </c>
      <c r="D13" t="s">
        <v>702</v>
      </c>
      <c r="E13">
        <v>13</v>
      </c>
      <c r="F13">
        <v>6</v>
      </c>
      <c r="G13">
        <v>51</v>
      </c>
      <c r="H13" t="s">
        <v>692</v>
      </c>
      <c r="I13">
        <v>51</v>
      </c>
      <c r="J13" t="str">
        <f t="shared" si="0"/>
        <v>rahul</v>
      </c>
    </row>
    <row r="14" spans="1:12" x14ac:dyDescent="0.2">
      <c r="A14" t="s">
        <v>703</v>
      </c>
      <c r="B14" t="s">
        <v>704</v>
      </c>
      <c r="C14" t="s">
        <v>705</v>
      </c>
      <c r="D14" t="s">
        <v>706</v>
      </c>
      <c r="E14">
        <v>3</v>
      </c>
      <c r="F14">
        <v>5</v>
      </c>
      <c r="G14">
        <v>81</v>
      </c>
      <c r="H14" t="s">
        <v>670</v>
      </c>
      <c r="I14">
        <v>81</v>
      </c>
      <c r="J14" t="str">
        <f t="shared" si="0"/>
        <v>vikra</v>
      </c>
    </row>
    <row r="15" spans="1:12" x14ac:dyDescent="0.2">
      <c r="A15" t="s">
        <v>707</v>
      </c>
      <c r="B15" t="s">
        <v>708</v>
      </c>
      <c r="C15" t="s">
        <v>668</v>
      </c>
      <c r="D15" t="s">
        <v>709</v>
      </c>
      <c r="E15">
        <v>9</v>
      </c>
      <c r="F15">
        <v>17</v>
      </c>
      <c r="G15">
        <v>67</v>
      </c>
      <c r="H15" t="s">
        <v>677</v>
      </c>
      <c r="I15">
        <v>67</v>
      </c>
      <c r="J15" t="str">
        <f t="shared" si="0"/>
        <v>priya</v>
      </c>
    </row>
    <row r="16" spans="1:12" x14ac:dyDescent="0.2">
      <c r="A16" t="s">
        <v>710</v>
      </c>
      <c r="B16" t="s">
        <v>711</v>
      </c>
      <c r="C16" t="s">
        <v>698</v>
      </c>
      <c r="D16" t="s">
        <v>612</v>
      </c>
      <c r="E16">
        <v>6</v>
      </c>
      <c r="F16">
        <v>10</v>
      </c>
      <c r="G16">
        <v>54</v>
      </c>
      <c r="H16" t="s">
        <v>670</v>
      </c>
      <c r="I16">
        <v>54</v>
      </c>
      <c r="J16" t="str">
        <f t="shared" si="0"/>
        <v>tanma</v>
      </c>
    </row>
    <row r="17" spans="1:10" x14ac:dyDescent="0.2">
      <c r="A17" t="s">
        <v>712</v>
      </c>
      <c r="B17" t="s">
        <v>713</v>
      </c>
      <c r="C17" t="s">
        <v>668</v>
      </c>
      <c r="D17" t="s">
        <v>714</v>
      </c>
      <c r="E17">
        <v>2</v>
      </c>
      <c r="F17">
        <v>7</v>
      </c>
      <c r="G17">
        <v>78</v>
      </c>
      <c r="H17" t="s">
        <v>677</v>
      </c>
      <c r="I17">
        <v>78</v>
      </c>
      <c r="J17" t="str">
        <f t="shared" si="0"/>
        <v>priya</v>
      </c>
    </row>
    <row r="18" spans="1:10" x14ac:dyDescent="0.2">
      <c r="A18" t="s">
        <v>715</v>
      </c>
      <c r="B18" t="s">
        <v>716</v>
      </c>
      <c r="C18" t="s">
        <v>698</v>
      </c>
      <c r="D18" t="s">
        <v>717</v>
      </c>
      <c r="E18">
        <v>18</v>
      </c>
      <c r="F18">
        <v>13</v>
      </c>
      <c r="G18">
        <v>87</v>
      </c>
      <c r="H18" t="s">
        <v>677</v>
      </c>
      <c r="I18">
        <v>87</v>
      </c>
      <c r="J18" t="str">
        <f t="shared" si="0"/>
        <v>tanma</v>
      </c>
    </row>
    <row r="19" spans="1:10" x14ac:dyDescent="0.2">
      <c r="A19" t="s">
        <v>718</v>
      </c>
      <c r="B19" t="s">
        <v>719</v>
      </c>
      <c r="C19" t="s">
        <v>668</v>
      </c>
      <c r="D19" t="s">
        <v>720</v>
      </c>
      <c r="E19">
        <v>22</v>
      </c>
      <c r="F19">
        <v>11</v>
      </c>
      <c r="G19">
        <v>81</v>
      </c>
      <c r="H19" t="s">
        <v>677</v>
      </c>
      <c r="I19">
        <v>81</v>
      </c>
      <c r="J19" t="str">
        <f t="shared" si="0"/>
        <v>priya</v>
      </c>
    </row>
    <row r="20" spans="1:10" x14ac:dyDescent="0.2">
      <c r="A20" t="s">
        <v>721</v>
      </c>
      <c r="B20" t="s">
        <v>722</v>
      </c>
      <c r="C20" t="s">
        <v>705</v>
      </c>
      <c r="D20" t="s">
        <v>723</v>
      </c>
      <c r="E20">
        <v>7</v>
      </c>
      <c r="F20">
        <v>11</v>
      </c>
      <c r="G20">
        <v>59</v>
      </c>
      <c r="H20" t="s">
        <v>677</v>
      </c>
      <c r="I20">
        <v>59</v>
      </c>
      <c r="J20" t="str">
        <f t="shared" si="0"/>
        <v>vikra</v>
      </c>
    </row>
    <row r="21" spans="1:10" ht="15.75" customHeight="1" x14ac:dyDescent="0.2">
      <c r="A21" t="s">
        <v>724</v>
      </c>
      <c r="B21" t="s">
        <v>725</v>
      </c>
      <c r="C21" t="s">
        <v>698</v>
      </c>
      <c r="D21" t="s">
        <v>674</v>
      </c>
      <c r="E21">
        <v>19</v>
      </c>
      <c r="F21">
        <v>7</v>
      </c>
      <c r="G21">
        <v>90</v>
      </c>
      <c r="H21" t="s">
        <v>670</v>
      </c>
      <c r="I21">
        <v>90</v>
      </c>
      <c r="J21" t="str">
        <f t="shared" si="0"/>
        <v>tanma</v>
      </c>
    </row>
    <row r="22" spans="1:10" ht="15.75" customHeight="1" x14ac:dyDescent="0.2">
      <c r="A22" t="s">
        <v>726</v>
      </c>
      <c r="B22" t="s">
        <v>727</v>
      </c>
      <c r="C22" t="s">
        <v>668</v>
      </c>
      <c r="D22" t="s">
        <v>728</v>
      </c>
      <c r="E22">
        <v>7</v>
      </c>
      <c r="F22">
        <v>2</v>
      </c>
      <c r="G22">
        <v>88</v>
      </c>
      <c r="H22" t="s">
        <v>692</v>
      </c>
      <c r="I22">
        <v>88</v>
      </c>
      <c r="J22" t="str">
        <f t="shared" si="0"/>
        <v>priya</v>
      </c>
    </row>
    <row r="23" spans="1:10" ht="15.75" customHeight="1" x14ac:dyDescent="0.2">
      <c r="A23" t="s">
        <v>729</v>
      </c>
      <c r="B23" t="s">
        <v>730</v>
      </c>
      <c r="C23" t="s">
        <v>695</v>
      </c>
      <c r="D23" t="s">
        <v>731</v>
      </c>
      <c r="E23">
        <v>1</v>
      </c>
      <c r="F23">
        <v>3</v>
      </c>
      <c r="G23">
        <v>96</v>
      </c>
      <c r="H23" t="s">
        <v>692</v>
      </c>
      <c r="I23">
        <v>96</v>
      </c>
      <c r="J23" t="str">
        <f t="shared" si="0"/>
        <v>anita</v>
      </c>
    </row>
    <row r="24" spans="1:10" ht="15.75" customHeight="1" x14ac:dyDescent="0.2">
      <c r="A24" t="s">
        <v>732</v>
      </c>
      <c r="B24" t="s">
        <v>733</v>
      </c>
      <c r="C24" t="s">
        <v>698</v>
      </c>
      <c r="D24" t="s">
        <v>734</v>
      </c>
      <c r="E24">
        <v>19</v>
      </c>
      <c r="F24">
        <v>1</v>
      </c>
      <c r="G24">
        <v>56</v>
      </c>
      <c r="H24" t="s">
        <v>677</v>
      </c>
      <c r="I24">
        <v>56</v>
      </c>
      <c r="J24" t="str">
        <f t="shared" si="0"/>
        <v>tanma</v>
      </c>
    </row>
    <row r="25" spans="1:10" ht="15.75" customHeight="1" x14ac:dyDescent="0.2">
      <c r="A25" t="s">
        <v>735</v>
      </c>
      <c r="B25" t="s">
        <v>736</v>
      </c>
      <c r="C25" t="s">
        <v>698</v>
      </c>
      <c r="D25" t="s">
        <v>542</v>
      </c>
      <c r="E25">
        <v>5</v>
      </c>
      <c r="F25">
        <v>6</v>
      </c>
      <c r="G25">
        <v>91</v>
      </c>
      <c r="H25" t="s">
        <v>692</v>
      </c>
      <c r="I25">
        <v>91</v>
      </c>
      <c r="J25" t="str">
        <f t="shared" si="0"/>
        <v>tanma</v>
      </c>
    </row>
    <row r="26" spans="1:10" ht="15.75" customHeight="1" x14ac:dyDescent="0.2">
      <c r="A26" t="s">
        <v>737</v>
      </c>
      <c r="B26" t="s">
        <v>738</v>
      </c>
      <c r="C26" t="s">
        <v>673</v>
      </c>
      <c r="D26" t="s">
        <v>739</v>
      </c>
      <c r="E26">
        <v>24</v>
      </c>
      <c r="F26">
        <v>4</v>
      </c>
      <c r="G26">
        <v>91</v>
      </c>
      <c r="H26" t="s">
        <v>677</v>
      </c>
      <c r="I26">
        <v>91</v>
      </c>
      <c r="J26" t="str">
        <f t="shared" si="0"/>
        <v>rahul</v>
      </c>
    </row>
    <row r="27" spans="1:10" ht="15.75" customHeight="1" x14ac:dyDescent="0.2">
      <c r="A27" t="s">
        <v>740</v>
      </c>
      <c r="B27" t="s">
        <v>741</v>
      </c>
      <c r="C27" t="s">
        <v>668</v>
      </c>
      <c r="D27" t="s">
        <v>742</v>
      </c>
      <c r="E27">
        <v>21</v>
      </c>
      <c r="F27">
        <v>20</v>
      </c>
      <c r="G27">
        <v>92</v>
      </c>
      <c r="H27" t="s">
        <v>670</v>
      </c>
      <c r="I27">
        <v>92</v>
      </c>
      <c r="J27" t="str">
        <f t="shared" si="0"/>
        <v>priya</v>
      </c>
    </row>
    <row r="28" spans="1:10" ht="15.75" customHeight="1" x14ac:dyDescent="0.2">
      <c r="A28" t="s">
        <v>743</v>
      </c>
      <c r="B28" t="s">
        <v>744</v>
      </c>
      <c r="C28" t="s">
        <v>698</v>
      </c>
      <c r="D28" t="s">
        <v>603</v>
      </c>
      <c r="E28">
        <v>3</v>
      </c>
      <c r="F28">
        <v>15</v>
      </c>
      <c r="G28">
        <v>63</v>
      </c>
      <c r="H28" t="s">
        <v>692</v>
      </c>
      <c r="I28">
        <v>63</v>
      </c>
      <c r="J28" t="str">
        <f t="shared" si="0"/>
        <v>tanma</v>
      </c>
    </row>
    <row r="29" spans="1:10" ht="15.75" customHeight="1" x14ac:dyDescent="0.2">
      <c r="A29" t="s">
        <v>745</v>
      </c>
      <c r="B29" t="s">
        <v>746</v>
      </c>
      <c r="C29" t="s">
        <v>695</v>
      </c>
      <c r="D29" t="s">
        <v>747</v>
      </c>
      <c r="E29">
        <v>26</v>
      </c>
      <c r="F29">
        <v>3</v>
      </c>
      <c r="G29">
        <v>54</v>
      </c>
      <c r="H29" t="s">
        <v>677</v>
      </c>
      <c r="I29">
        <v>54</v>
      </c>
      <c r="J29" t="str">
        <f t="shared" si="0"/>
        <v>anita</v>
      </c>
    </row>
    <row r="30" spans="1:10" ht="15.75" customHeight="1" x14ac:dyDescent="0.2">
      <c r="A30" t="s">
        <v>748</v>
      </c>
      <c r="B30" t="s">
        <v>749</v>
      </c>
      <c r="C30" t="s">
        <v>695</v>
      </c>
      <c r="D30" t="s">
        <v>750</v>
      </c>
      <c r="E30">
        <v>19</v>
      </c>
      <c r="F30">
        <v>12</v>
      </c>
      <c r="G30">
        <v>52</v>
      </c>
      <c r="H30" t="s">
        <v>692</v>
      </c>
      <c r="I30">
        <v>52</v>
      </c>
      <c r="J30" t="str">
        <f t="shared" si="0"/>
        <v>anita</v>
      </c>
    </row>
    <row r="31" spans="1:10" ht="15.75" customHeight="1" x14ac:dyDescent="0.2">
      <c r="A31" t="s">
        <v>751</v>
      </c>
      <c r="B31" t="s">
        <v>752</v>
      </c>
      <c r="C31" t="s">
        <v>695</v>
      </c>
      <c r="D31" t="s">
        <v>753</v>
      </c>
      <c r="E31">
        <v>13</v>
      </c>
      <c r="F31">
        <v>8</v>
      </c>
      <c r="G31">
        <v>66</v>
      </c>
      <c r="H31" t="s">
        <v>670</v>
      </c>
      <c r="I31">
        <v>66</v>
      </c>
      <c r="J31" t="str">
        <f t="shared" si="0"/>
        <v>anita</v>
      </c>
    </row>
    <row r="32" spans="1:10" ht="15.75" customHeight="1" x14ac:dyDescent="0.2">
      <c r="A32" t="s">
        <v>754</v>
      </c>
      <c r="B32" t="s">
        <v>755</v>
      </c>
      <c r="C32" t="s">
        <v>673</v>
      </c>
      <c r="D32" t="s">
        <v>756</v>
      </c>
      <c r="E32">
        <v>29</v>
      </c>
      <c r="F32">
        <v>9</v>
      </c>
      <c r="G32">
        <v>74</v>
      </c>
      <c r="H32" t="s">
        <v>677</v>
      </c>
      <c r="I32">
        <v>74</v>
      </c>
      <c r="J32" t="str">
        <f t="shared" si="0"/>
        <v>rahul</v>
      </c>
    </row>
    <row r="33" spans="1:10" ht="15.75" customHeight="1" x14ac:dyDescent="0.2">
      <c r="A33" t="s">
        <v>757</v>
      </c>
      <c r="B33" t="s">
        <v>758</v>
      </c>
      <c r="C33" t="s">
        <v>705</v>
      </c>
      <c r="D33" t="s">
        <v>759</v>
      </c>
      <c r="E33">
        <v>15</v>
      </c>
      <c r="F33">
        <v>4</v>
      </c>
      <c r="G33">
        <v>56</v>
      </c>
      <c r="H33" t="s">
        <v>692</v>
      </c>
      <c r="I33">
        <v>56</v>
      </c>
      <c r="J33" t="str">
        <f t="shared" si="0"/>
        <v>vikra</v>
      </c>
    </row>
    <row r="34" spans="1:10" ht="15.75" customHeight="1" x14ac:dyDescent="0.2">
      <c r="A34" t="s">
        <v>760</v>
      </c>
      <c r="B34" t="s">
        <v>761</v>
      </c>
      <c r="C34" t="s">
        <v>668</v>
      </c>
      <c r="D34" t="s">
        <v>762</v>
      </c>
      <c r="E34">
        <v>2</v>
      </c>
      <c r="F34">
        <v>17</v>
      </c>
      <c r="G34">
        <v>72</v>
      </c>
      <c r="H34" t="s">
        <v>692</v>
      </c>
      <c r="I34">
        <v>72</v>
      </c>
      <c r="J34" t="str">
        <f t="shared" si="0"/>
        <v>priya</v>
      </c>
    </row>
    <row r="35" spans="1:10" ht="15.75" customHeight="1" x14ac:dyDescent="0.2">
      <c r="A35" t="s">
        <v>763</v>
      </c>
      <c r="B35" t="s">
        <v>764</v>
      </c>
      <c r="C35" t="s">
        <v>668</v>
      </c>
      <c r="D35" t="s">
        <v>765</v>
      </c>
      <c r="E35">
        <v>18</v>
      </c>
      <c r="F35">
        <v>6</v>
      </c>
      <c r="G35">
        <v>63</v>
      </c>
      <c r="H35" t="s">
        <v>677</v>
      </c>
      <c r="I35">
        <v>63</v>
      </c>
      <c r="J35" t="str">
        <f t="shared" si="0"/>
        <v>priya</v>
      </c>
    </row>
    <row r="36" spans="1:10" ht="15.75" customHeight="1" x14ac:dyDescent="0.2">
      <c r="A36" t="s">
        <v>766</v>
      </c>
      <c r="B36" t="s">
        <v>767</v>
      </c>
      <c r="C36" t="s">
        <v>705</v>
      </c>
      <c r="D36" t="s">
        <v>768</v>
      </c>
      <c r="E36">
        <v>24</v>
      </c>
      <c r="F36">
        <v>13</v>
      </c>
      <c r="G36">
        <v>55</v>
      </c>
      <c r="H36" t="s">
        <v>670</v>
      </c>
      <c r="I36">
        <v>55</v>
      </c>
      <c r="J36" t="str">
        <f t="shared" si="0"/>
        <v>vikra</v>
      </c>
    </row>
    <row r="37" spans="1:10" ht="15.75" customHeight="1" x14ac:dyDescent="0.2">
      <c r="A37" t="s">
        <v>769</v>
      </c>
      <c r="B37" t="s">
        <v>770</v>
      </c>
      <c r="C37" t="s">
        <v>705</v>
      </c>
      <c r="D37" t="s">
        <v>587</v>
      </c>
      <c r="E37">
        <v>26</v>
      </c>
      <c r="F37">
        <v>13</v>
      </c>
      <c r="G37">
        <v>66</v>
      </c>
      <c r="H37" t="s">
        <v>677</v>
      </c>
      <c r="I37">
        <v>66</v>
      </c>
      <c r="J37" t="str">
        <f t="shared" si="0"/>
        <v>vikra</v>
      </c>
    </row>
    <row r="38" spans="1:10" ht="15.75" customHeight="1" x14ac:dyDescent="0.2">
      <c r="A38" t="s">
        <v>771</v>
      </c>
      <c r="B38" t="s">
        <v>772</v>
      </c>
      <c r="C38" t="s">
        <v>705</v>
      </c>
      <c r="D38" t="s">
        <v>773</v>
      </c>
      <c r="E38">
        <v>26</v>
      </c>
      <c r="F38">
        <v>2</v>
      </c>
      <c r="G38">
        <v>60</v>
      </c>
      <c r="H38" t="s">
        <v>670</v>
      </c>
      <c r="I38">
        <v>60</v>
      </c>
      <c r="J38" t="str">
        <f t="shared" si="0"/>
        <v>vikra</v>
      </c>
    </row>
    <row r="39" spans="1:10" ht="15.75" customHeight="1" x14ac:dyDescent="0.2">
      <c r="A39" t="s">
        <v>774</v>
      </c>
      <c r="B39" t="s">
        <v>775</v>
      </c>
      <c r="C39" t="s">
        <v>695</v>
      </c>
      <c r="D39" t="s">
        <v>615</v>
      </c>
      <c r="E39">
        <v>10</v>
      </c>
      <c r="F39">
        <v>12</v>
      </c>
      <c r="G39">
        <v>61</v>
      </c>
      <c r="H39" t="s">
        <v>677</v>
      </c>
      <c r="I39">
        <v>61</v>
      </c>
      <c r="J39" t="str">
        <f t="shared" si="0"/>
        <v>anita</v>
      </c>
    </row>
    <row r="40" spans="1:10" ht="15.75" customHeight="1" x14ac:dyDescent="0.2">
      <c r="A40" t="s">
        <v>776</v>
      </c>
      <c r="B40" t="s">
        <v>777</v>
      </c>
      <c r="C40" t="s">
        <v>705</v>
      </c>
      <c r="D40" t="s">
        <v>629</v>
      </c>
      <c r="E40">
        <v>7</v>
      </c>
      <c r="F40">
        <v>17</v>
      </c>
      <c r="G40">
        <v>84</v>
      </c>
      <c r="H40" t="s">
        <v>692</v>
      </c>
      <c r="I40">
        <v>84</v>
      </c>
      <c r="J40" t="str">
        <f t="shared" si="0"/>
        <v>vikra</v>
      </c>
    </row>
    <row r="41" spans="1:10" ht="15.75" customHeight="1" x14ac:dyDescent="0.2">
      <c r="A41" t="s">
        <v>778</v>
      </c>
      <c r="B41" t="s">
        <v>779</v>
      </c>
      <c r="C41" t="s">
        <v>673</v>
      </c>
      <c r="D41" t="s">
        <v>780</v>
      </c>
      <c r="E41">
        <v>5</v>
      </c>
      <c r="F41">
        <v>7</v>
      </c>
      <c r="G41">
        <v>64</v>
      </c>
      <c r="H41" t="s">
        <v>670</v>
      </c>
      <c r="I41">
        <v>64</v>
      </c>
      <c r="J41" t="str">
        <f t="shared" si="0"/>
        <v>rahul</v>
      </c>
    </row>
    <row r="42" spans="1:10" ht="15.75" customHeight="1" x14ac:dyDescent="0.2">
      <c r="A42" t="s">
        <v>781</v>
      </c>
      <c r="B42" t="s">
        <v>782</v>
      </c>
      <c r="C42" t="s">
        <v>698</v>
      </c>
      <c r="D42" t="s">
        <v>783</v>
      </c>
      <c r="E42">
        <v>9</v>
      </c>
      <c r="F42">
        <v>10</v>
      </c>
      <c r="G42">
        <v>94</v>
      </c>
      <c r="H42" t="s">
        <v>692</v>
      </c>
      <c r="I42">
        <v>94</v>
      </c>
      <c r="J42" t="str">
        <f t="shared" si="0"/>
        <v>tanma</v>
      </c>
    </row>
    <row r="43" spans="1:10" ht="15.75" customHeight="1" x14ac:dyDescent="0.2">
      <c r="A43" t="s">
        <v>784</v>
      </c>
      <c r="B43" t="s">
        <v>785</v>
      </c>
      <c r="C43" t="s">
        <v>698</v>
      </c>
      <c r="D43" t="s">
        <v>786</v>
      </c>
      <c r="E43">
        <v>19</v>
      </c>
      <c r="F43">
        <v>12</v>
      </c>
      <c r="G43">
        <v>95</v>
      </c>
      <c r="H43" t="s">
        <v>677</v>
      </c>
      <c r="I43">
        <v>95</v>
      </c>
      <c r="J43" t="str">
        <f t="shared" si="0"/>
        <v>tanma</v>
      </c>
    </row>
    <row r="44" spans="1:10" ht="15.75" customHeight="1" x14ac:dyDescent="0.2">
      <c r="A44" t="s">
        <v>787</v>
      </c>
      <c r="B44" t="s">
        <v>788</v>
      </c>
      <c r="C44" t="s">
        <v>668</v>
      </c>
      <c r="D44" t="s">
        <v>789</v>
      </c>
      <c r="E44">
        <v>14</v>
      </c>
      <c r="F44">
        <v>17</v>
      </c>
      <c r="G44">
        <v>64</v>
      </c>
      <c r="H44" t="s">
        <v>670</v>
      </c>
      <c r="I44">
        <v>64</v>
      </c>
      <c r="J44" t="str">
        <f t="shared" si="0"/>
        <v>priya</v>
      </c>
    </row>
    <row r="45" spans="1:10" ht="15.75" customHeight="1" x14ac:dyDescent="0.2">
      <c r="A45" t="s">
        <v>790</v>
      </c>
      <c r="B45" t="s">
        <v>791</v>
      </c>
      <c r="C45" t="s">
        <v>668</v>
      </c>
      <c r="D45" t="s">
        <v>792</v>
      </c>
      <c r="E45">
        <v>10</v>
      </c>
      <c r="F45">
        <v>18</v>
      </c>
      <c r="G45">
        <v>50</v>
      </c>
      <c r="H45" t="s">
        <v>670</v>
      </c>
      <c r="I45">
        <v>50</v>
      </c>
      <c r="J45" t="str">
        <f t="shared" si="0"/>
        <v>priya</v>
      </c>
    </row>
    <row r="46" spans="1:10" ht="15.75" customHeight="1" x14ac:dyDescent="0.2">
      <c r="A46" t="s">
        <v>793</v>
      </c>
      <c r="B46" t="s">
        <v>794</v>
      </c>
      <c r="C46" t="s">
        <v>705</v>
      </c>
      <c r="D46" t="s">
        <v>580</v>
      </c>
      <c r="E46">
        <v>3</v>
      </c>
      <c r="F46">
        <v>2</v>
      </c>
      <c r="G46">
        <v>79</v>
      </c>
      <c r="H46" t="s">
        <v>670</v>
      </c>
      <c r="I46">
        <v>79</v>
      </c>
      <c r="J46" t="str">
        <f t="shared" si="0"/>
        <v>vikra</v>
      </c>
    </row>
    <row r="47" spans="1:10" ht="15.75" customHeight="1" x14ac:dyDescent="0.2">
      <c r="A47" t="s">
        <v>795</v>
      </c>
      <c r="B47" t="s">
        <v>796</v>
      </c>
      <c r="C47" t="s">
        <v>668</v>
      </c>
      <c r="D47" t="s">
        <v>773</v>
      </c>
      <c r="E47">
        <v>4</v>
      </c>
      <c r="F47">
        <v>6</v>
      </c>
      <c r="G47">
        <v>98</v>
      </c>
      <c r="H47" t="s">
        <v>670</v>
      </c>
      <c r="I47">
        <v>98</v>
      </c>
      <c r="J47" t="str">
        <f t="shared" si="0"/>
        <v>priya</v>
      </c>
    </row>
    <row r="48" spans="1:10" ht="15.75" customHeight="1" x14ac:dyDescent="0.2">
      <c r="A48" t="s">
        <v>797</v>
      </c>
      <c r="B48" t="s">
        <v>798</v>
      </c>
      <c r="C48" t="s">
        <v>698</v>
      </c>
      <c r="D48" t="s">
        <v>799</v>
      </c>
      <c r="E48">
        <v>14</v>
      </c>
      <c r="F48">
        <v>9</v>
      </c>
      <c r="G48">
        <v>74</v>
      </c>
      <c r="H48" t="s">
        <v>692</v>
      </c>
      <c r="I48">
        <v>74</v>
      </c>
      <c r="J48" t="str">
        <f t="shared" si="0"/>
        <v>tanma</v>
      </c>
    </row>
    <row r="49" spans="1:10" ht="15.75" customHeight="1" x14ac:dyDescent="0.2">
      <c r="A49" t="s">
        <v>800</v>
      </c>
      <c r="B49" t="s">
        <v>801</v>
      </c>
      <c r="C49" t="s">
        <v>698</v>
      </c>
      <c r="D49" t="s">
        <v>802</v>
      </c>
      <c r="E49">
        <v>30</v>
      </c>
      <c r="F49">
        <v>18</v>
      </c>
      <c r="G49">
        <v>86</v>
      </c>
      <c r="H49" t="s">
        <v>692</v>
      </c>
      <c r="I49">
        <v>86</v>
      </c>
      <c r="J49" t="str">
        <f t="shared" si="0"/>
        <v>tanma</v>
      </c>
    </row>
    <row r="50" spans="1:10" ht="15.75" customHeight="1" x14ac:dyDescent="0.2">
      <c r="A50" t="s">
        <v>803</v>
      </c>
      <c r="B50" t="s">
        <v>804</v>
      </c>
      <c r="C50" t="s">
        <v>695</v>
      </c>
      <c r="D50" t="s">
        <v>644</v>
      </c>
      <c r="E50">
        <v>14</v>
      </c>
      <c r="F50">
        <v>6</v>
      </c>
      <c r="G50">
        <v>72</v>
      </c>
      <c r="H50" t="s">
        <v>677</v>
      </c>
      <c r="I50">
        <v>72</v>
      </c>
      <c r="J50" t="str">
        <f t="shared" si="0"/>
        <v>anita</v>
      </c>
    </row>
    <row r="51" spans="1:10" ht="15.75" customHeight="1" x14ac:dyDescent="0.2">
      <c r="A51" t="s">
        <v>805</v>
      </c>
      <c r="B51" t="s">
        <v>806</v>
      </c>
      <c r="C51" t="s">
        <v>695</v>
      </c>
      <c r="D51" t="s">
        <v>807</v>
      </c>
      <c r="E51">
        <v>25</v>
      </c>
      <c r="F51">
        <v>17</v>
      </c>
      <c r="G51">
        <v>96</v>
      </c>
      <c r="H51" t="s">
        <v>692</v>
      </c>
      <c r="I51">
        <v>96</v>
      </c>
      <c r="J51" t="str">
        <f t="shared" si="0"/>
        <v>anita</v>
      </c>
    </row>
    <row r="52" spans="1:10" ht="15.75" customHeight="1" x14ac:dyDescent="0.2">
      <c r="A52" t="s">
        <v>808</v>
      </c>
      <c r="B52" t="s">
        <v>809</v>
      </c>
      <c r="C52" t="s">
        <v>668</v>
      </c>
      <c r="D52" t="s">
        <v>810</v>
      </c>
      <c r="E52">
        <v>2</v>
      </c>
      <c r="F52">
        <v>19</v>
      </c>
      <c r="G52">
        <v>50</v>
      </c>
      <c r="H52" t="s">
        <v>692</v>
      </c>
      <c r="I52">
        <v>50</v>
      </c>
      <c r="J52" t="str">
        <f t="shared" si="0"/>
        <v>priya</v>
      </c>
    </row>
    <row r="53" spans="1:10" ht="15.75" customHeight="1" x14ac:dyDescent="0.2"/>
    <row r="54" spans="1:10" ht="15.75" customHeight="1" x14ac:dyDescent="0.2"/>
    <row r="55" spans="1:10" ht="15.75" customHeight="1" x14ac:dyDescent="0.2"/>
    <row r="56" spans="1:10" ht="15.75" customHeight="1" x14ac:dyDescent="0.2"/>
    <row r="57" spans="1:10" ht="15.75" customHeight="1" x14ac:dyDescent="0.2"/>
    <row r="58" spans="1:10" ht="15.75" customHeight="1" x14ac:dyDescent="0.2"/>
    <row r="59" spans="1:10" ht="15.75" customHeight="1" x14ac:dyDescent="0.2"/>
    <row r="60" spans="1:10" ht="15.75" customHeight="1" x14ac:dyDescent="0.2"/>
    <row r="61" spans="1:10" ht="15.75" customHeight="1" x14ac:dyDescent="0.2"/>
    <row r="62" spans="1:10" ht="15.75" customHeight="1" x14ac:dyDescent="0.2"/>
    <row r="63" spans="1:10" ht="15.75" customHeight="1" x14ac:dyDescent="0.2"/>
    <row r="64" spans="1:10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J1:L1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00"/>
  <sheetViews>
    <sheetView workbookViewId="0"/>
  </sheetViews>
  <sheetFormatPr defaultColWidth="14.390625" defaultRowHeight="15" customHeight="1" x14ac:dyDescent="0.2"/>
  <cols>
    <col min="1" max="1" width="23.5390625" customWidth="1"/>
    <col min="2" max="2" width="10.625" customWidth="1"/>
    <col min="3" max="3" width="13.71875" customWidth="1"/>
    <col min="4" max="4" width="7.12890625" customWidth="1"/>
    <col min="5" max="5" width="10.625" customWidth="1"/>
    <col min="6" max="6" width="11.97265625" customWidth="1"/>
    <col min="7" max="7" width="7.53125" customWidth="1"/>
    <col min="8" max="8" width="8.7421875" customWidth="1"/>
    <col min="9" max="9" width="4.9765625" customWidth="1"/>
    <col min="10" max="11" width="8.7421875" customWidth="1"/>
  </cols>
  <sheetData>
    <row r="1" spans="1:9" x14ac:dyDescent="0.2">
      <c r="A1" t="s">
        <v>811</v>
      </c>
      <c r="B1" t="s">
        <v>63</v>
      </c>
      <c r="C1" t="s">
        <v>812</v>
      </c>
      <c r="D1" t="s">
        <v>60</v>
      </c>
      <c r="E1" t="s">
        <v>179</v>
      </c>
      <c r="F1" t="s">
        <v>813</v>
      </c>
      <c r="G1" t="s">
        <v>814</v>
      </c>
      <c r="H1" t="s">
        <v>815</v>
      </c>
      <c r="I1" t="s">
        <v>816</v>
      </c>
    </row>
    <row r="2" spans="1:9" x14ac:dyDescent="0.2">
      <c r="A2" t="s">
        <v>817</v>
      </c>
      <c r="B2" t="s">
        <v>71</v>
      </c>
      <c r="C2" t="s">
        <v>570</v>
      </c>
      <c r="D2" t="s">
        <v>76</v>
      </c>
      <c r="E2" t="s">
        <v>203</v>
      </c>
      <c r="F2" t="s">
        <v>818</v>
      </c>
      <c r="G2" t="s">
        <v>819</v>
      </c>
      <c r="H2">
        <v>45</v>
      </c>
      <c r="I2">
        <v>3688</v>
      </c>
    </row>
    <row r="3" spans="1:9" x14ac:dyDescent="0.2">
      <c r="A3" t="s">
        <v>820</v>
      </c>
      <c r="B3" t="s">
        <v>529</v>
      </c>
      <c r="C3" t="s">
        <v>821</v>
      </c>
      <c r="D3" t="s">
        <v>76</v>
      </c>
      <c r="E3" t="s">
        <v>197</v>
      </c>
      <c r="F3" t="s">
        <v>822</v>
      </c>
      <c r="G3" t="s">
        <v>823</v>
      </c>
      <c r="H3">
        <v>43</v>
      </c>
      <c r="I3">
        <v>3384</v>
      </c>
    </row>
    <row r="4" spans="1:9" x14ac:dyDescent="0.2">
      <c r="A4" t="s">
        <v>824</v>
      </c>
      <c r="B4" t="s">
        <v>212</v>
      </c>
      <c r="C4" t="s">
        <v>821</v>
      </c>
      <c r="D4" t="s">
        <v>105</v>
      </c>
      <c r="E4" t="s">
        <v>203</v>
      </c>
      <c r="F4" t="s">
        <v>825</v>
      </c>
      <c r="G4" t="s">
        <v>823</v>
      </c>
      <c r="H4">
        <v>26</v>
      </c>
      <c r="I4">
        <v>306</v>
      </c>
    </row>
    <row r="5" spans="1:9" x14ac:dyDescent="0.2">
      <c r="A5" t="s">
        <v>826</v>
      </c>
      <c r="B5" t="s">
        <v>514</v>
      </c>
      <c r="C5" t="s">
        <v>570</v>
      </c>
      <c r="D5" t="s">
        <v>68</v>
      </c>
      <c r="E5" t="s">
        <v>203</v>
      </c>
      <c r="F5" t="s">
        <v>818</v>
      </c>
      <c r="G5" t="s">
        <v>823</v>
      </c>
      <c r="H5">
        <v>42</v>
      </c>
      <c r="I5">
        <v>493</v>
      </c>
    </row>
    <row r="6" spans="1:9" x14ac:dyDescent="0.2">
      <c r="A6" t="s">
        <v>827</v>
      </c>
      <c r="B6" t="s">
        <v>828</v>
      </c>
      <c r="C6" t="s">
        <v>92</v>
      </c>
      <c r="D6" t="s">
        <v>76</v>
      </c>
      <c r="E6" t="s">
        <v>197</v>
      </c>
      <c r="F6" t="s">
        <v>822</v>
      </c>
      <c r="G6" t="s">
        <v>823</v>
      </c>
      <c r="H6">
        <v>20</v>
      </c>
      <c r="I6">
        <v>1737</v>
      </c>
    </row>
    <row r="7" spans="1:9" x14ac:dyDescent="0.2">
      <c r="A7" t="s">
        <v>829</v>
      </c>
      <c r="B7" t="s">
        <v>212</v>
      </c>
      <c r="C7" t="s">
        <v>523</v>
      </c>
      <c r="D7" t="s">
        <v>68</v>
      </c>
      <c r="E7" t="s">
        <v>197</v>
      </c>
      <c r="F7" t="s">
        <v>825</v>
      </c>
      <c r="G7" t="s">
        <v>823</v>
      </c>
      <c r="H7">
        <v>59</v>
      </c>
      <c r="I7">
        <v>3002</v>
      </c>
    </row>
    <row r="8" spans="1:9" x14ac:dyDescent="0.2">
      <c r="A8" t="s">
        <v>830</v>
      </c>
      <c r="B8" t="s">
        <v>514</v>
      </c>
      <c r="C8" t="s">
        <v>821</v>
      </c>
      <c r="D8" t="s">
        <v>68</v>
      </c>
      <c r="E8" t="s">
        <v>194</v>
      </c>
      <c r="F8" t="s">
        <v>825</v>
      </c>
      <c r="G8" t="s">
        <v>819</v>
      </c>
      <c r="H8">
        <v>28</v>
      </c>
      <c r="I8">
        <v>3230</v>
      </c>
    </row>
    <row r="9" spans="1:9" x14ac:dyDescent="0.2">
      <c r="A9" t="s">
        <v>831</v>
      </c>
      <c r="B9" t="s">
        <v>71</v>
      </c>
      <c r="C9" t="s">
        <v>92</v>
      </c>
      <c r="D9" t="s">
        <v>76</v>
      </c>
      <c r="E9" t="s">
        <v>197</v>
      </c>
      <c r="F9" t="s">
        <v>203</v>
      </c>
      <c r="G9" t="s">
        <v>819</v>
      </c>
      <c r="H9">
        <v>70</v>
      </c>
      <c r="I9">
        <v>3836</v>
      </c>
    </row>
    <row r="10" spans="1:9" x14ac:dyDescent="0.2">
      <c r="A10" t="s">
        <v>832</v>
      </c>
      <c r="B10" t="s">
        <v>529</v>
      </c>
      <c r="C10" t="s">
        <v>570</v>
      </c>
      <c r="D10" t="s">
        <v>76</v>
      </c>
      <c r="E10" t="s">
        <v>204</v>
      </c>
      <c r="F10" t="s">
        <v>203</v>
      </c>
      <c r="G10" t="s">
        <v>819</v>
      </c>
      <c r="H10">
        <v>33</v>
      </c>
      <c r="I10">
        <v>2925</v>
      </c>
    </row>
    <row r="11" spans="1:9" x14ac:dyDescent="0.2">
      <c r="A11" t="s">
        <v>833</v>
      </c>
      <c r="B11" t="s">
        <v>529</v>
      </c>
      <c r="C11" t="s">
        <v>523</v>
      </c>
      <c r="D11" t="s">
        <v>105</v>
      </c>
      <c r="E11" t="s">
        <v>204</v>
      </c>
      <c r="F11" t="s">
        <v>822</v>
      </c>
      <c r="G11" t="s">
        <v>819</v>
      </c>
      <c r="H11">
        <v>66</v>
      </c>
      <c r="I11">
        <v>3550</v>
      </c>
    </row>
    <row r="12" spans="1:9" x14ac:dyDescent="0.2">
      <c r="A12" t="s">
        <v>834</v>
      </c>
      <c r="B12" t="s">
        <v>529</v>
      </c>
      <c r="C12" t="s">
        <v>213</v>
      </c>
      <c r="D12" t="s">
        <v>68</v>
      </c>
      <c r="E12" t="s">
        <v>204</v>
      </c>
      <c r="F12" t="s">
        <v>203</v>
      </c>
      <c r="G12" t="s">
        <v>819</v>
      </c>
      <c r="H12">
        <v>80</v>
      </c>
      <c r="I12">
        <v>1900</v>
      </c>
    </row>
    <row r="13" spans="1:9" x14ac:dyDescent="0.2">
      <c r="A13" t="s">
        <v>835</v>
      </c>
      <c r="B13" t="s">
        <v>212</v>
      </c>
      <c r="C13" t="s">
        <v>570</v>
      </c>
      <c r="D13" t="s">
        <v>105</v>
      </c>
      <c r="E13" t="s">
        <v>205</v>
      </c>
      <c r="F13" t="s">
        <v>818</v>
      </c>
      <c r="G13" t="s">
        <v>823</v>
      </c>
      <c r="H13">
        <v>50</v>
      </c>
      <c r="I13">
        <v>1989</v>
      </c>
    </row>
    <row r="14" spans="1:9" x14ac:dyDescent="0.2">
      <c r="A14" t="s">
        <v>836</v>
      </c>
      <c r="B14" t="s">
        <v>514</v>
      </c>
      <c r="C14" t="s">
        <v>213</v>
      </c>
      <c r="D14" t="s">
        <v>105</v>
      </c>
      <c r="E14" t="s">
        <v>197</v>
      </c>
      <c r="F14" t="s">
        <v>818</v>
      </c>
      <c r="G14" t="s">
        <v>823</v>
      </c>
      <c r="H14">
        <v>24</v>
      </c>
      <c r="I14">
        <v>3683</v>
      </c>
    </row>
    <row r="15" spans="1:9" x14ac:dyDescent="0.2">
      <c r="A15" t="s">
        <v>837</v>
      </c>
      <c r="B15" t="s">
        <v>71</v>
      </c>
      <c r="C15" t="s">
        <v>821</v>
      </c>
      <c r="D15" t="s">
        <v>76</v>
      </c>
      <c r="E15" t="s">
        <v>194</v>
      </c>
      <c r="F15" t="s">
        <v>818</v>
      </c>
      <c r="G15" t="s">
        <v>823</v>
      </c>
      <c r="H15">
        <v>47</v>
      </c>
      <c r="I15">
        <v>2792</v>
      </c>
    </row>
    <row r="16" spans="1:9" x14ac:dyDescent="0.2">
      <c r="A16" t="s">
        <v>838</v>
      </c>
      <c r="B16" t="s">
        <v>212</v>
      </c>
      <c r="C16" t="s">
        <v>213</v>
      </c>
      <c r="D16" t="s">
        <v>76</v>
      </c>
      <c r="E16" t="s">
        <v>197</v>
      </c>
      <c r="F16" t="s">
        <v>203</v>
      </c>
      <c r="G16" t="s">
        <v>819</v>
      </c>
      <c r="H16">
        <v>47</v>
      </c>
      <c r="I16">
        <v>3177</v>
      </c>
    </row>
    <row r="17" spans="1:9" x14ac:dyDescent="0.2">
      <c r="A17" t="s">
        <v>839</v>
      </c>
      <c r="B17" t="s">
        <v>514</v>
      </c>
      <c r="C17" t="s">
        <v>570</v>
      </c>
      <c r="D17" t="s">
        <v>76</v>
      </c>
      <c r="E17" t="s">
        <v>205</v>
      </c>
      <c r="F17" t="s">
        <v>840</v>
      </c>
      <c r="G17" t="s">
        <v>823</v>
      </c>
      <c r="H17">
        <v>35</v>
      </c>
      <c r="I17">
        <v>2938</v>
      </c>
    </row>
    <row r="18" spans="1:9" x14ac:dyDescent="0.2">
      <c r="A18" t="s">
        <v>841</v>
      </c>
      <c r="B18" t="s">
        <v>529</v>
      </c>
      <c r="C18" t="s">
        <v>523</v>
      </c>
      <c r="D18" t="s">
        <v>76</v>
      </c>
      <c r="E18" t="s">
        <v>197</v>
      </c>
      <c r="F18" t="s">
        <v>822</v>
      </c>
      <c r="G18" t="s">
        <v>823</v>
      </c>
      <c r="H18">
        <v>56</v>
      </c>
      <c r="I18">
        <v>815</v>
      </c>
    </row>
    <row r="19" spans="1:9" x14ac:dyDescent="0.2">
      <c r="A19" t="s">
        <v>842</v>
      </c>
      <c r="B19" t="s">
        <v>212</v>
      </c>
      <c r="C19" t="s">
        <v>92</v>
      </c>
      <c r="D19" t="s">
        <v>90</v>
      </c>
      <c r="E19" t="s">
        <v>203</v>
      </c>
      <c r="F19" t="s">
        <v>818</v>
      </c>
      <c r="G19" t="s">
        <v>823</v>
      </c>
      <c r="H19">
        <v>9</v>
      </c>
      <c r="I19">
        <v>2694</v>
      </c>
    </row>
    <row r="20" spans="1:9" x14ac:dyDescent="0.2">
      <c r="A20" t="s">
        <v>843</v>
      </c>
      <c r="B20" t="s">
        <v>514</v>
      </c>
      <c r="C20" t="s">
        <v>821</v>
      </c>
      <c r="D20" t="s">
        <v>68</v>
      </c>
      <c r="E20" t="s">
        <v>204</v>
      </c>
      <c r="F20" t="s">
        <v>840</v>
      </c>
      <c r="G20" t="s">
        <v>819</v>
      </c>
      <c r="H20">
        <v>82</v>
      </c>
      <c r="I20">
        <v>1764</v>
      </c>
    </row>
    <row r="21" spans="1:9" ht="15.75" customHeight="1" x14ac:dyDescent="0.2">
      <c r="A21" t="s">
        <v>844</v>
      </c>
      <c r="B21" t="s">
        <v>514</v>
      </c>
      <c r="C21" t="s">
        <v>92</v>
      </c>
      <c r="D21" t="s">
        <v>90</v>
      </c>
      <c r="E21" t="s">
        <v>203</v>
      </c>
      <c r="F21" t="s">
        <v>822</v>
      </c>
      <c r="G21" t="s">
        <v>819</v>
      </c>
      <c r="H21">
        <v>11</v>
      </c>
      <c r="I21">
        <v>1247</v>
      </c>
    </row>
    <row r="22" spans="1:9" ht="15.75" customHeight="1" x14ac:dyDescent="0.2">
      <c r="A22" t="s">
        <v>845</v>
      </c>
      <c r="B22" t="s">
        <v>828</v>
      </c>
      <c r="C22" t="s">
        <v>92</v>
      </c>
      <c r="D22" t="s">
        <v>105</v>
      </c>
      <c r="E22" t="s">
        <v>194</v>
      </c>
      <c r="F22" t="s">
        <v>840</v>
      </c>
      <c r="G22" t="s">
        <v>823</v>
      </c>
      <c r="H22">
        <v>87</v>
      </c>
      <c r="I22">
        <v>4897</v>
      </c>
    </row>
    <row r="23" spans="1:9" ht="15.75" customHeight="1" x14ac:dyDescent="0.2">
      <c r="A23" t="s">
        <v>846</v>
      </c>
      <c r="B23" t="s">
        <v>529</v>
      </c>
      <c r="C23" t="s">
        <v>213</v>
      </c>
      <c r="D23" t="s">
        <v>76</v>
      </c>
      <c r="E23" t="s">
        <v>203</v>
      </c>
      <c r="F23" t="s">
        <v>840</v>
      </c>
      <c r="G23" t="s">
        <v>823</v>
      </c>
      <c r="H23">
        <v>34</v>
      </c>
      <c r="I23">
        <v>1786</v>
      </c>
    </row>
    <row r="24" spans="1:9" ht="15.75" customHeight="1" x14ac:dyDescent="0.2">
      <c r="A24" t="s">
        <v>847</v>
      </c>
      <c r="B24" t="s">
        <v>514</v>
      </c>
      <c r="C24" t="s">
        <v>523</v>
      </c>
      <c r="D24" t="s">
        <v>105</v>
      </c>
      <c r="E24" t="s">
        <v>205</v>
      </c>
      <c r="F24" t="s">
        <v>818</v>
      </c>
      <c r="G24" t="s">
        <v>819</v>
      </c>
      <c r="H24">
        <v>59</v>
      </c>
      <c r="I24">
        <v>4345</v>
      </c>
    </row>
    <row r="25" spans="1:9" ht="15.75" customHeight="1" x14ac:dyDescent="0.2">
      <c r="A25" t="s">
        <v>848</v>
      </c>
      <c r="B25" t="s">
        <v>71</v>
      </c>
      <c r="C25" t="s">
        <v>92</v>
      </c>
      <c r="D25" t="s">
        <v>105</v>
      </c>
      <c r="E25" t="s">
        <v>203</v>
      </c>
      <c r="F25" t="s">
        <v>203</v>
      </c>
      <c r="G25" t="s">
        <v>819</v>
      </c>
      <c r="H25">
        <v>66</v>
      </c>
      <c r="I25">
        <v>1614</v>
      </c>
    </row>
    <row r="26" spans="1:9" ht="15.75" customHeight="1" x14ac:dyDescent="0.2">
      <c r="A26" t="s">
        <v>849</v>
      </c>
      <c r="B26" t="s">
        <v>514</v>
      </c>
      <c r="C26" t="s">
        <v>523</v>
      </c>
      <c r="D26" t="s">
        <v>90</v>
      </c>
      <c r="E26" t="s">
        <v>203</v>
      </c>
      <c r="F26" t="s">
        <v>818</v>
      </c>
      <c r="G26" t="s">
        <v>819</v>
      </c>
      <c r="H26">
        <v>65</v>
      </c>
      <c r="I26">
        <v>3905</v>
      </c>
    </row>
    <row r="27" spans="1:9" ht="15.75" customHeight="1" x14ac:dyDescent="0.2">
      <c r="A27" t="s">
        <v>850</v>
      </c>
      <c r="B27" t="s">
        <v>529</v>
      </c>
      <c r="C27" t="s">
        <v>523</v>
      </c>
      <c r="D27" t="s">
        <v>90</v>
      </c>
      <c r="E27" t="s">
        <v>204</v>
      </c>
      <c r="F27" t="s">
        <v>825</v>
      </c>
      <c r="G27" t="s">
        <v>819</v>
      </c>
      <c r="H27">
        <v>61</v>
      </c>
      <c r="I27">
        <v>1851</v>
      </c>
    </row>
    <row r="28" spans="1:9" ht="15.75" customHeight="1" x14ac:dyDescent="0.2">
      <c r="A28" t="s">
        <v>851</v>
      </c>
      <c r="B28" t="s">
        <v>529</v>
      </c>
      <c r="C28" t="s">
        <v>570</v>
      </c>
      <c r="D28" t="s">
        <v>68</v>
      </c>
      <c r="E28" t="s">
        <v>194</v>
      </c>
      <c r="F28" t="s">
        <v>840</v>
      </c>
      <c r="G28" t="s">
        <v>819</v>
      </c>
      <c r="H28">
        <v>43</v>
      </c>
      <c r="I28">
        <v>3536</v>
      </c>
    </row>
    <row r="29" spans="1:9" ht="15.75" customHeight="1" x14ac:dyDescent="0.2">
      <c r="A29" t="s">
        <v>852</v>
      </c>
      <c r="B29" t="s">
        <v>529</v>
      </c>
      <c r="C29" t="s">
        <v>821</v>
      </c>
      <c r="D29" t="s">
        <v>90</v>
      </c>
      <c r="E29" t="s">
        <v>194</v>
      </c>
      <c r="F29" t="s">
        <v>818</v>
      </c>
      <c r="G29" t="s">
        <v>819</v>
      </c>
      <c r="H29">
        <v>54</v>
      </c>
      <c r="I29">
        <v>4306</v>
      </c>
    </row>
    <row r="30" spans="1:9" ht="15.75" customHeight="1" x14ac:dyDescent="0.2">
      <c r="A30" t="s">
        <v>853</v>
      </c>
      <c r="B30" t="s">
        <v>71</v>
      </c>
      <c r="C30" t="s">
        <v>92</v>
      </c>
      <c r="D30" t="s">
        <v>76</v>
      </c>
      <c r="E30" t="s">
        <v>205</v>
      </c>
      <c r="F30" t="s">
        <v>840</v>
      </c>
      <c r="G30" t="s">
        <v>819</v>
      </c>
      <c r="H30">
        <v>44</v>
      </c>
      <c r="I30">
        <v>2142</v>
      </c>
    </row>
    <row r="31" spans="1:9" ht="15.75" customHeight="1" x14ac:dyDescent="0.2">
      <c r="A31" t="s">
        <v>854</v>
      </c>
      <c r="B31" t="s">
        <v>212</v>
      </c>
      <c r="C31" t="s">
        <v>570</v>
      </c>
      <c r="D31" t="s">
        <v>68</v>
      </c>
      <c r="E31" t="s">
        <v>204</v>
      </c>
      <c r="F31" t="s">
        <v>840</v>
      </c>
      <c r="G31" t="s">
        <v>819</v>
      </c>
      <c r="H31">
        <v>79</v>
      </c>
      <c r="I31">
        <v>1439</v>
      </c>
    </row>
    <row r="32" spans="1:9" ht="15.75" customHeight="1" x14ac:dyDescent="0.2">
      <c r="A32" t="s">
        <v>855</v>
      </c>
      <c r="B32" t="s">
        <v>212</v>
      </c>
      <c r="C32" t="s">
        <v>570</v>
      </c>
      <c r="D32" t="s">
        <v>105</v>
      </c>
      <c r="E32" t="s">
        <v>203</v>
      </c>
      <c r="F32" t="s">
        <v>840</v>
      </c>
      <c r="G32" t="s">
        <v>819</v>
      </c>
      <c r="H32">
        <v>41</v>
      </c>
      <c r="I32">
        <v>2209</v>
      </c>
    </row>
    <row r="33" spans="1:9" ht="15.75" customHeight="1" x14ac:dyDescent="0.2">
      <c r="A33" t="s">
        <v>856</v>
      </c>
      <c r="B33" t="s">
        <v>529</v>
      </c>
      <c r="C33" t="s">
        <v>92</v>
      </c>
      <c r="D33" t="s">
        <v>105</v>
      </c>
      <c r="E33" t="s">
        <v>197</v>
      </c>
      <c r="F33" t="s">
        <v>840</v>
      </c>
      <c r="G33" t="s">
        <v>819</v>
      </c>
      <c r="H33">
        <v>91</v>
      </c>
      <c r="I33">
        <v>3649</v>
      </c>
    </row>
    <row r="34" spans="1:9" ht="15.75" customHeight="1" x14ac:dyDescent="0.2">
      <c r="A34" t="s">
        <v>857</v>
      </c>
      <c r="B34" t="s">
        <v>529</v>
      </c>
      <c r="C34" t="s">
        <v>570</v>
      </c>
      <c r="D34" t="s">
        <v>105</v>
      </c>
      <c r="E34" t="s">
        <v>203</v>
      </c>
      <c r="F34" t="s">
        <v>822</v>
      </c>
      <c r="G34" t="s">
        <v>823</v>
      </c>
      <c r="H34">
        <v>76</v>
      </c>
      <c r="I34">
        <v>4503</v>
      </c>
    </row>
    <row r="35" spans="1:9" ht="15.75" customHeight="1" x14ac:dyDescent="0.2">
      <c r="A35" t="s">
        <v>858</v>
      </c>
      <c r="B35" t="s">
        <v>529</v>
      </c>
      <c r="C35" t="s">
        <v>213</v>
      </c>
      <c r="D35" t="s">
        <v>68</v>
      </c>
      <c r="E35" t="s">
        <v>197</v>
      </c>
      <c r="F35" t="s">
        <v>825</v>
      </c>
      <c r="G35" t="s">
        <v>823</v>
      </c>
      <c r="H35">
        <v>88</v>
      </c>
      <c r="I35">
        <v>3525</v>
      </c>
    </row>
    <row r="36" spans="1:9" ht="15.75" customHeight="1" x14ac:dyDescent="0.2">
      <c r="A36" t="s">
        <v>859</v>
      </c>
      <c r="B36" t="s">
        <v>71</v>
      </c>
      <c r="C36" t="s">
        <v>570</v>
      </c>
      <c r="D36" t="s">
        <v>105</v>
      </c>
      <c r="E36" t="s">
        <v>194</v>
      </c>
      <c r="F36" t="s">
        <v>203</v>
      </c>
      <c r="G36" t="s">
        <v>823</v>
      </c>
      <c r="H36">
        <v>6</v>
      </c>
      <c r="I36">
        <v>1795</v>
      </c>
    </row>
    <row r="37" spans="1:9" ht="15.75" customHeight="1" x14ac:dyDescent="0.2">
      <c r="A37" t="s">
        <v>860</v>
      </c>
      <c r="B37" t="s">
        <v>212</v>
      </c>
      <c r="C37" t="s">
        <v>821</v>
      </c>
      <c r="D37" t="s">
        <v>76</v>
      </c>
      <c r="E37" t="s">
        <v>194</v>
      </c>
      <c r="F37" t="s">
        <v>203</v>
      </c>
      <c r="G37" t="s">
        <v>819</v>
      </c>
      <c r="H37">
        <v>81</v>
      </c>
      <c r="I37">
        <v>3081</v>
      </c>
    </row>
    <row r="38" spans="1:9" ht="15.75" customHeight="1" x14ac:dyDescent="0.2">
      <c r="A38" t="s">
        <v>861</v>
      </c>
      <c r="B38" t="s">
        <v>514</v>
      </c>
      <c r="C38" t="s">
        <v>523</v>
      </c>
      <c r="D38" t="s">
        <v>68</v>
      </c>
      <c r="E38" t="s">
        <v>197</v>
      </c>
      <c r="F38" t="s">
        <v>818</v>
      </c>
      <c r="G38" t="s">
        <v>823</v>
      </c>
      <c r="H38">
        <v>97</v>
      </c>
      <c r="I38">
        <v>4488</v>
      </c>
    </row>
    <row r="39" spans="1:9" ht="15.75" customHeight="1" x14ac:dyDescent="0.2">
      <c r="A39" t="s">
        <v>862</v>
      </c>
      <c r="B39" t="s">
        <v>212</v>
      </c>
      <c r="C39" t="s">
        <v>570</v>
      </c>
      <c r="D39" t="s">
        <v>68</v>
      </c>
      <c r="E39" t="s">
        <v>205</v>
      </c>
      <c r="F39" t="s">
        <v>825</v>
      </c>
      <c r="G39" t="s">
        <v>819</v>
      </c>
      <c r="H39">
        <v>7</v>
      </c>
      <c r="I39">
        <v>3730</v>
      </c>
    </row>
    <row r="40" spans="1:9" ht="15.75" customHeight="1" x14ac:dyDescent="0.2">
      <c r="A40" t="s">
        <v>863</v>
      </c>
      <c r="B40" t="s">
        <v>514</v>
      </c>
      <c r="C40" t="s">
        <v>821</v>
      </c>
      <c r="D40" t="s">
        <v>90</v>
      </c>
      <c r="E40" t="s">
        <v>203</v>
      </c>
      <c r="F40" t="s">
        <v>822</v>
      </c>
      <c r="G40" t="s">
        <v>819</v>
      </c>
      <c r="H40">
        <v>91</v>
      </c>
      <c r="I40">
        <v>4752</v>
      </c>
    </row>
    <row r="41" spans="1:9" ht="15.75" customHeight="1" x14ac:dyDescent="0.2">
      <c r="A41" t="s">
        <v>864</v>
      </c>
      <c r="B41" t="s">
        <v>212</v>
      </c>
      <c r="C41" t="s">
        <v>523</v>
      </c>
      <c r="D41" t="s">
        <v>105</v>
      </c>
      <c r="E41" t="s">
        <v>205</v>
      </c>
      <c r="F41" t="s">
        <v>822</v>
      </c>
      <c r="G41" t="s">
        <v>823</v>
      </c>
      <c r="H41">
        <v>12</v>
      </c>
      <c r="I41">
        <v>2762</v>
      </c>
    </row>
    <row r="42" spans="1:9" ht="15.75" customHeight="1" x14ac:dyDescent="0.2">
      <c r="A42" t="s">
        <v>865</v>
      </c>
      <c r="B42" t="s">
        <v>828</v>
      </c>
      <c r="C42" t="s">
        <v>821</v>
      </c>
      <c r="D42" t="s">
        <v>90</v>
      </c>
      <c r="E42" t="s">
        <v>197</v>
      </c>
      <c r="F42" t="s">
        <v>818</v>
      </c>
      <c r="G42" t="s">
        <v>823</v>
      </c>
      <c r="H42">
        <v>7</v>
      </c>
      <c r="I42">
        <v>3507</v>
      </c>
    </row>
    <row r="43" spans="1:9" ht="15.75" customHeight="1" x14ac:dyDescent="0.2">
      <c r="A43" t="s">
        <v>866</v>
      </c>
      <c r="B43" t="s">
        <v>514</v>
      </c>
      <c r="C43" t="s">
        <v>570</v>
      </c>
      <c r="D43" t="s">
        <v>76</v>
      </c>
      <c r="E43" t="s">
        <v>203</v>
      </c>
      <c r="F43" t="s">
        <v>840</v>
      </c>
      <c r="G43" t="s">
        <v>823</v>
      </c>
      <c r="H43">
        <v>77</v>
      </c>
      <c r="I43">
        <v>1726</v>
      </c>
    </row>
    <row r="44" spans="1:9" ht="15.75" customHeight="1" x14ac:dyDescent="0.2">
      <c r="A44" t="s">
        <v>867</v>
      </c>
      <c r="B44" t="s">
        <v>212</v>
      </c>
      <c r="C44" t="s">
        <v>213</v>
      </c>
      <c r="D44" t="s">
        <v>105</v>
      </c>
      <c r="E44" t="s">
        <v>205</v>
      </c>
      <c r="F44" t="s">
        <v>822</v>
      </c>
      <c r="G44" t="s">
        <v>819</v>
      </c>
      <c r="H44">
        <v>61</v>
      </c>
      <c r="I44">
        <v>4858</v>
      </c>
    </row>
    <row r="45" spans="1:9" ht="15.75" customHeight="1" x14ac:dyDescent="0.2">
      <c r="A45" t="s">
        <v>868</v>
      </c>
      <c r="B45" t="s">
        <v>212</v>
      </c>
      <c r="C45" t="s">
        <v>570</v>
      </c>
      <c r="D45" t="s">
        <v>105</v>
      </c>
      <c r="E45" t="s">
        <v>203</v>
      </c>
      <c r="F45" t="s">
        <v>825</v>
      </c>
      <c r="G45" t="s">
        <v>819</v>
      </c>
      <c r="H45">
        <v>97</v>
      </c>
      <c r="I45">
        <v>4521</v>
      </c>
    </row>
    <row r="46" spans="1:9" ht="15.75" customHeight="1" x14ac:dyDescent="0.2">
      <c r="A46" t="s">
        <v>869</v>
      </c>
      <c r="B46" t="s">
        <v>71</v>
      </c>
      <c r="C46" t="s">
        <v>213</v>
      </c>
      <c r="D46" t="s">
        <v>105</v>
      </c>
      <c r="E46" t="s">
        <v>205</v>
      </c>
      <c r="F46" t="s">
        <v>818</v>
      </c>
      <c r="G46" t="s">
        <v>823</v>
      </c>
      <c r="H46">
        <v>48</v>
      </c>
      <c r="I46">
        <v>3687</v>
      </c>
    </row>
    <row r="47" spans="1:9" ht="15.75" customHeight="1" x14ac:dyDescent="0.2">
      <c r="A47" t="s">
        <v>870</v>
      </c>
      <c r="B47" t="s">
        <v>212</v>
      </c>
      <c r="C47" t="s">
        <v>570</v>
      </c>
      <c r="D47" t="s">
        <v>90</v>
      </c>
      <c r="E47" t="s">
        <v>197</v>
      </c>
      <c r="F47" t="s">
        <v>822</v>
      </c>
      <c r="G47" t="s">
        <v>819</v>
      </c>
      <c r="H47">
        <v>90</v>
      </c>
      <c r="I47">
        <v>3267</v>
      </c>
    </row>
    <row r="48" spans="1:9" ht="15.75" customHeight="1" x14ac:dyDescent="0.2">
      <c r="A48" t="s">
        <v>871</v>
      </c>
      <c r="B48" t="s">
        <v>529</v>
      </c>
      <c r="C48" t="s">
        <v>92</v>
      </c>
      <c r="D48" t="s">
        <v>68</v>
      </c>
      <c r="E48" t="s">
        <v>205</v>
      </c>
      <c r="F48" t="s">
        <v>822</v>
      </c>
      <c r="G48" t="s">
        <v>819</v>
      </c>
      <c r="H48">
        <v>59</v>
      </c>
      <c r="I48">
        <v>1351</v>
      </c>
    </row>
    <row r="49" spans="1:9" ht="15.75" customHeight="1" x14ac:dyDescent="0.2">
      <c r="A49" t="s">
        <v>872</v>
      </c>
      <c r="B49" t="s">
        <v>514</v>
      </c>
      <c r="C49" t="s">
        <v>213</v>
      </c>
      <c r="D49" t="s">
        <v>90</v>
      </c>
      <c r="E49" t="s">
        <v>205</v>
      </c>
      <c r="F49" t="s">
        <v>825</v>
      </c>
      <c r="G49" t="s">
        <v>823</v>
      </c>
      <c r="H49">
        <v>80</v>
      </c>
      <c r="I49">
        <v>2746</v>
      </c>
    </row>
    <row r="50" spans="1:9" ht="15.75" customHeight="1" x14ac:dyDescent="0.2">
      <c r="A50" t="s">
        <v>873</v>
      </c>
      <c r="B50" t="s">
        <v>529</v>
      </c>
      <c r="C50" t="s">
        <v>523</v>
      </c>
      <c r="D50" t="s">
        <v>76</v>
      </c>
      <c r="E50" t="s">
        <v>204</v>
      </c>
      <c r="F50" t="s">
        <v>825</v>
      </c>
      <c r="G50" t="s">
        <v>819</v>
      </c>
      <c r="H50">
        <v>46</v>
      </c>
      <c r="I50">
        <v>2964</v>
      </c>
    </row>
    <row r="51" spans="1:9" ht="15.75" customHeight="1" x14ac:dyDescent="0.2">
      <c r="A51" t="s">
        <v>874</v>
      </c>
      <c r="B51" t="s">
        <v>529</v>
      </c>
      <c r="C51" t="s">
        <v>523</v>
      </c>
      <c r="D51" t="s">
        <v>90</v>
      </c>
      <c r="E51" t="s">
        <v>203</v>
      </c>
      <c r="F51" t="s">
        <v>203</v>
      </c>
      <c r="G51" t="s">
        <v>823</v>
      </c>
      <c r="H51">
        <v>88</v>
      </c>
      <c r="I51">
        <v>2771</v>
      </c>
    </row>
    <row r="52" spans="1:9" ht="15.75" customHeight="1" x14ac:dyDescent="0.2"/>
    <row r="53" spans="1:9" ht="15.75" customHeight="1" x14ac:dyDescent="0.2"/>
    <row r="54" spans="1:9" ht="15.75" customHeight="1" x14ac:dyDescent="0.2"/>
    <row r="55" spans="1:9" ht="15.75" customHeight="1" x14ac:dyDescent="0.2"/>
    <row r="56" spans="1:9" ht="15.75" customHeight="1" x14ac:dyDescent="0.2"/>
    <row r="57" spans="1:9" ht="15.75" customHeight="1" x14ac:dyDescent="0.2"/>
    <row r="58" spans="1:9" ht="15.75" customHeight="1" x14ac:dyDescent="0.2"/>
    <row r="59" spans="1:9" ht="15.75" customHeight="1" x14ac:dyDescent="0.2"/>
    <row r="60" spans="1:9" ht="15.75" customHeight="1" x14ac:dyDescent="0.2"/>
    <row r="61" spans="1:9" ht="15.75" customHeight="1" x14ac:dyDescent="0.2"/>
    <row r="62" spans="1:9" ht="15.75" customHeight="1" x14ac:dyDescent="0.2"/>
    <row r="63" spans="1:9" ht="15.75" customHeight="1" x14ac:dyDescent="0.2"/>
    <row r="64" spans="1:9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Student data</vt:lpstr>
      <vt:lpstr>Sheet3</vt:lpstr>
      <vt:lpstr>Sales Data</vt:lpstr>
      <vt:lpstr>Sheet1</vt:lpstr>
      <vt:lpstr>Sheet2</vt:lpstr>
      <vt:lpstr>Subtotal</vt:lpstr>
      <vt:lpstr>MNC-SALES BUDEGETING DATA</vt:lpstr>
      <vt:lpstr>Sheet5</vt:lpstr>
      <vt:lpstr>500DATA FOR PRACTISING</vt:lpstr>
      <vt:lpstr>Sheet4</vt:lpstr>
      <vt:lpstr>trim,lenghth,text formula pract</vt:lpstr>
      <vt:lpstr>PIVOT TABLE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rana.tanmay2004@gmail.com</dc:creator>
  <cp:lastModifiedBy>rana.tanmay2004@gmail.com</cp:lastModifiedBy>
  <dcterms:created xsi:type="dcterms:W3CDTF">2026-03-07T03:15:38Z</dcterms:created>
  <dcterms:modified xsi:type="dcterms:W3CDTF">2026-03-18T16:08:21Z</dcterms:modified>
</cp:coreProperties>
</file>